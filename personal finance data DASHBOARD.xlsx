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ANANE K.S\Downloads\"/>
    </mc:Choice>
  </mc:AlternateContent>
  <xr:revisionPtr revIDLastSave="0" documentId="13_ncr:1_{B804D60C-5C66-4C54-A3CA-1E5D9C1FC3FE}" xr6:coauthVersionLast="47" xr6:coauthVersionMax="47" xr10:uidLastSave="{00000000-0000-0000-0000-000000000000}"/>
  <bookViews>
    <workbookView xWindow="-108" yWindow="-108" windowWidth="23256" windowHeight="12456" xr2:uid="{E9D68179-C0B6-4F54-9E21-91A9D5A35C79}"/>
  </bookViews>
  <sheets>
    <sheet name="dashboard" sheetId="9" r:id="rId1"/>
    <sheet name="pivot chart" sheetId="8" r:id="rId2"/>
    <sheet name="Sheet1" sheetId="1" r:id="rId3"/>
  </sheets>
  <definedNames>
    <definedName name="_xlnm._FilterDatabase" localSheetId="2" hidden="1">Sheet1!$A$1:$F$226</definedName>
    <definedName name="Slicer_Category">#N/A</definedName>
    <definedName name="Slicer_Income_Expense">#N/A</definedName>
    <definedName name="Slicer_Months__Date___Time">#N/A</definedName>
    <definedName name="Slicer_Sub_category">#N/A</definedName>
  </definedNames>
  <calcPr calcId="191029"/>
  <pivotCaches>
    <pivotCache cacheId="3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 l="1"/>
  <c r="K5" i="1"/>
  <c r="G2" i="1"/>
  <c r="K8" i="9" a="1"/>
  <c r="K8" i="9"/>
  <c r="E343" i="9" a="1"/>
  <c r="E343" i="9" s="1"/>
  <c r="H3" i="1"/>
  <c r="H4" i="1"/>
  <c r="H5" i="1"/>
  <c r="H6" i="1"/>
  <c r="K6" i="1" s="1"/>
  <c r="H8" i="1"/>
  <c r="H9" i="1"/>
  <c r="H10" i="1"/>
  <c r="H11" i="1"/>
  <c r="H12" i="1"/>
  <c r="H13" i="1"/>
  <c r="H14" i="1"/>
  <c r="H15" i="1"/>
  <c r="H16" i="1"/>
  <c r="H17" i="1"/>
  <c r="H18"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12" i="1"/>
  <c r="G13" i="1"/>
  <c r="G14" i="1"/>
  <c r="G15" i="1"/>
  <c r="G16" i="1"/>
  <c r="G17" i="1"/>
  <c r="G18" i="1"/>
  <c r="G19" i="1"/>
  <c r="G20" i="1"/>
  <c r="G21" i="1"/>
  <c r="G22" i="1"/>
  <c r="G3" i="1"/>
  <c r="G4" i="1"/>
  <c r="G5" i="1"/>
  <c r="G6" i="1"/>
  <c r="G7" i="1"/>
  <c r="G8" i="1"/>
  <c r="G9" i="1"/>
  <c r="G10" i="1"/>
  <c r="G11" i="1"/>
  <c r="K7"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<sst xmlns="http://schemas.openxmlformats.org/spreadsheetml/2006/main" count="963" uniqueCount="173">
  <si>
    <t>Date / Time</t>
  </si>
  <si>
    <t>Mode</t>
  </si>
  <si>
    <t>Category</t>
  </si>
  <si>
    <t>Sub category</t>
  </si>
  <si>
    <t>Income/Expense</t>
  </si>
  <si>
    <t>Debit/Credit</t>
  </si>
  <si>
    <t>CUB - online payment</t>
  </si>
  <si>
    <t>Allowance</t>
  </si>
  <si>
    <t>From dad</t>
  </si>
  <si>
    <t>Income</t>
  </si>
  <si>
    <t>Food</t>
  </si>
  <si>
    <t>Snacks</t>
  </si>
  <si>
    <t>Expense</t>
  </si>
  <si>
    <t>Other</t>
  </si>
  <si>
    <t>Household</t>
  </si>
  <si>
    <t>Stuffs</t>
  </si>
  <si>
    <t>Transportation</t>
  </si>
  <si>
    <t>Metro</t>
  </si>
  <si>
    <t>Dinner</t>
  </si>
  <si>
    <t>Lunch with company</t>
  </si>
  <si>
    <t>Rapido to pg</t>
  </si>
  <si>
    <t>Gundan + prasanna</t>
  </si>
  <si>
    <t>Eve snack</t>
  </si>
  <si>
    <t>Snack with preethi</t>
  </si>
  <si>
    <t>Lunch + chocolate for preethi</t>
  </si>
  <si>
    <t>From vicky</t>
  </si>
  <si>
    <t>Snacks with preethi and azar</t>
  </si>
  <si>
    <t>apparel</t>
  </si>
  <si>
    <t>Badminton</t>
  </si>
  <si>
    <t>Lemon tea</t>
  </si>
  <si>
    <t>Paani poori</t>
  </si>
  <si>
    <t>Vishnu 100 gowdham 25</t>
  </si>
  <si>
    <t>salary</t>
  </si>
  <si>
    <t>office</t>
  </si>
  <si>
    <t>Zinger box meal</t>
  </si>
  <si>
    <t>To vishnu</t>
  </si>
  <si>
    <t>Banana</t>
  </si>
  <si>
    <t>Sent to barath</t>
  </si>
  <si>
    <t>Brunch</t>
  </si>
  <si>
    <t xml:space="preserve">Cycle gap </t>
  </si>
  <si>
    <t>To vicky</t>
  </si>
  <si>
    <t>Train to vnr</t>
  </si>
  <si>
    <t>Dinner with barath</t>
  </si>
  <si>
    <t>Tablet to gowdham</t>
  </si>
  <si>
    <t>Parotta</t>
  </si>
  <si>
    <t>Brownie</t>
  </si>
  <si>
    <t xml:space="preserve">Games </t>
  </si>
  <si>
    <t xml:space="preserve">Kfc </t>
  </si>
  <si>
    <t>Side dishes</t>
  </si>
  <si>
    <t>Lunch</t>
  </si>
  <si>
    <t>Kfc dinner</t>
  </si>
  <si>
    <t>To egmore</t>
  </si>
  <si>
    <t>To auto anna</t>
  </si>
  <si>
    <t>Bus ticket</t>
  </si>
  <si>
    <t>Random stuff for drinks</t>
  </si>
  <si>
    <t>Train cbe to chn</t>
  </si>
  <si>
    <t>It better be worth it</t>
  </si>
  <si>
    <t>Eggs</t>
  </si>
  <si>
    <t>Apparel</t>
  </si>
  <si>
    <t>Hoodie for gobi</t>
  </si>
  <si>
    <t>Creamstone</t>
  </si>
  <si>
    <t>Tea lights</t>
  </si>
  <si>
    <t>To karthi</t>
  </si>
  <si>
    <t>Pizza</t>
  </si>
  <si>
    <t>From abi</t>
  </si>
  <si>
    <t>Lunch unlimited nv</t>
  </si>
  <si>
    <t>From shakur</t>
  </si>
  <si>
    <t>From barath</t>
  </si>
  <si>
    <t>Dairy milk</t>
  </si>
  <si>
    <t>To gowdham</t>
  </si>
  <si>
    <t>Good soup</t>
  </si>
  <si>
    <t>Bus to Bangalore</t>
  </si>
  <si>
    <t>Earphone</t>
  </si>
  <si>
    <t>To ksr station</t>
  </si>
  <si>
    <t>Sent to preethi</t>
  </si>
  <si>
    <t>Education</t>
  </si>
  <si>
    <t>Arrear and reval fee</t>
  </si>
  <si>
    <t>To lended people</t>
  </si>
  <si>
    <t>Took from sbi</t>
  </si>
  <si>
    <t>Ramen with gobi</t>
  </si>
  <si>
    <t>Salary</t>
  </si>
  <si>
    <t>Shawarma</t>
  </si>
  <si>
    <t>Cab</t>
  </si>
  <si>
    <t>Refund for bus ticket</t>
  </si>
  <si>
    <t>To abijith and to vicky lend money returned</t>
  </si>
  <si>
    <t>To gobi 1st 1/4th</t>
  </si>
  <si>
    <t>Lended money returned to kumara</t>
  </si>
  <si>
    <t>Jan 2nd with shakur and barath</t>
  </si>
  <si>
    <t>Lended money returned to vishnu</t>
  </si>
  <si>
    <t xml:space="preserve">Spiderman </t>
  </si>
  <si>
    <t>Vnr to apk</t>
  </si>
  <si>
    <t>Bingo</t>
  </si>
  <si>
    <t>Dinner with roommate</t>
  </si>
  <si>
    <t>Ketch up</t>
  </si>
  <si>
    <t>From barath and shakur</t>
  </si>
  <si>
    <t>To gobi</t>
  </si>
  <si>
    <t>To chennai</t>
  </si>
  <si>
    <t>To kumara</t>
  </si>
  <si>
    <t>Cakepark</t>
  </si>
  <si>
    <t>Dinner with aravind and buddies</t>
  </si>
  <si>
    <t>Coffee + biscuit</t>
  </si>
  <si>
    <t>Auto to Gobi's place</t>
  </si>
  <si>
    <t>Beer</t>
  </si>
  <si>
    <t>Kfc date with myself</t>
  </si>
  <si>
    <t>Rent</t>
  </si>
  <si>
    <t>Lunch with gowdham</t>
  </si>
  <si>
    <t>From gowdham</t>
  </si>
  <si>
    <t>Gave to gowdham</t>
  </si>
  <si>
    <t>Travel to koyambedu</t>
  </si>
  <si>
    <t>Tamen</t>
  </si>
  <si>
    <t>From Deepak</t>
  </si>
  <si>
    <t>Bean bag</t>
  </si>
  <si>
    <t>Kumara</t>
  </si>
  <si>
    <t>Sent to vicky</t>
  </si>
  <si>
    <t>Pepsi</t>
  </si>
  <si>
    <t>Friday snacks with preethi gang</t>
  </si>
  <si>
    <t>Panipoori</t>
  </si>
  <si>
    <t>Milk with bharath</t>
  </si>
  <si>
    <t>From ganesan</t>
  </si>
  <si>
    <t>Rapido + toll</t>
  </si>
  <si>
    <t>Bommasandra to pg</t>
  </si>
  <si>
    <t>Lunch with not preethi</t>
  </si>
  <si>
    <t>Dinner with aravind</t>
  </si>
  <si>
    <t>Lunch pongal</t>
  </si>
  <si>
    <t>Siva + 100 cash</t>
  </si>
  <si>
    <t>Rapido</t>
  </si>
  <si>
    <t>Dinner with gowdham</t>
  </si>
  <si>
    <t>Zomato</t>
  </si>
  <si>
    <t>Snack</t>
  </si>
  <si>
    <t>Breakfast</t>
  </si>
  <si>
    <t>Bharath birthday</t>
  </si>
  <si>
    <t>From kumara</t>
  </si>
  <si>
    <t>Recharge by gowdham</t>
  </si>
  <si>
    <t>Mirror</t>
  </si>
  <si>
    <t>Egg</t>
  </si>
  <si>
    <t>Lended money</t>
  </si>
  <si>
    <t>To rahul</t>
  </si>
  <si>
    <t>To abijith</t>
  </si>
  <si>
    <t>To siva</t>
  </si>
  <si>
    <t>Lunch with barath</t>
  </si>
  <si>
    <t>Water</t>
  </si>
  <si>
    <t>Taxi</t>
  </si>
  <si>
    <t>Bun</t>
  </si>
  <si>
    <t>Puffs</t>
  </si>
  <si>
    <t>Puffs and coffee</t>
  </si>
  <si>
    <t>Lemon tea with company</t>
  </si>
  <si>
    <t>Corn</t>
  </si>
  <si>
    <t>Books</t>
  </si>
  <si>
    <t>Coconut water with stu</t>
  </si>
  <si>
    <t>Coffee and thattai</t>
  </si>
  <si>
    <t>Horlicks + kolakattai</t>
  </si>
  <si>
    <t>Pg to office</t>
  </si>
  <si>
    <t>To barath</t>
  </si>
  <si>
    <t>Row Labels</t>
  </si>
  <si>
    <t>Grand Total</t>
  </si>
  <si>
    <t>Jan</t>
  </si>
  <si>
    <t>Mar</t>
  </si>
  <si>
    <t>Apr</t>
  </si>
  <si>
    <t>May</t>
  </si>
  <si>
    <t>Jun</t>
  </si>
  <si>
    <t>Aug</t>
  </si>
  <si>
    <t>Oct</t>
  </si>
  <si>
    <t>Nov</t>
  </si>
  <si>
    <t>Dec</t>
  </si>
  <si>
    <t>Sum of Debit/Credit</t>
  </si>
  <si>
    <t>(All)</t>
  </si>
  <si>
    <t>income</t>
  </si>
  <si>
    <t>expenses</t>
  </si>
  <si>
    <t>Sum of income</t>
  </si>
  <si>
    <t>Total income</t>
  </si>
  <si>
    <t>Total expenses</t>
  </si>
  <si>
    <t>Total savings</t>
  </si>
  <si>
    <t>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</si>
</sst>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1" applyFont="1"/>
    <xf numFmtId="0" fontId="2" fillId="0" borderId="0" xfId="0" applyFont="1"/>
  </cellXfs>
  <cellStyles count="2">
    <cellStyle name="Normal" xfId="0" builtinId="0"/>
    <cellStyle name="Percent" xfId="1" builtinId="5"/>
  </cellStyles>
  <dxfs count="0"/>
  <tableStyles count="0" defaultTableStyle="TableStyleMedium2" defaultPivotStyle="PivotStyleLight16"/>
  <colors>
    <mruColors>
      <color rgb="FF8799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chart!PivotTable14</c:name>
    <c:fmtId val="3"/>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solidFill>
                  <a:schemeClr val="dk1"/>
                </a:solidFill>
                <a:latin typeface="+mn-lt"/>
                <a:ea typeface="+mn-ea"/>
                <a:cs typeface="+mn-cs"/>
              </a:rPr>
              <a:t>MONTHLY Income aND EXPENSES</a:t>
            </a:r>
            <a:endParaRPr lang="en-US"/>
          </a:p>
        </c:rich>
      </c:tx>
      <c:layout>
        <c:manualLayout>
          <c:xMode val="edge"/>
          <c:yMode val="edge"/>
          <c:x val="0.28681380121153321"/>
          <c:y val="3.5836912765493778E-2"/>
        </c:manualLayout>
      </c:layout>
      <c:overlay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75313041285789E-2"/>
          <c:y val="0.19822357374625132"/>
          <c:w val="0.8935778397778309"/>
          <c:h val="0.65350400746393633"/>
        </c:manualLayout>
      </c:layout>
      <c:lineChart>
        <c:grouping val="standard"/>
        <c:varyColors val="0"/>
        <c:ser>
          <c:idx val="0"/>
          <c:order val="0"/>
          <c:tx>
            <c:strRef>
              <c:f>'pivot chart'!$B$3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chart'!$A$4:$A$13</c:f>
              <c:strCache>
                <c:ptCount val="9"/>
                <c:pt idx="0">
                  <c:v>Jan</c:v>
                </c:pt>
                <c:pt idx="1">
                  <c:v>Mar</c:v>
                </c:pt>
                <c:pt idx="2">
                  <c:v>Apr</c:v>
                </c:pt>
                <c:pt idx="3">
                  <c:v>May</c:v>
                </c:pt>
                <c:pt idx="4">
                  <c:v>Jun</c:v>
                </c:pt>
                <c:pt idx="5">
                  <c:v>Aug</c:v>
                </c:pt>
                <c:pt idx="6">
                  <c:v>Oct</c:v>
                </c:pt>
                <c:pt idx="7">
                  <c:v>Nov</c:v>
                </c:pt>
                <c:pt idx="8">
                  <c:v>Dec</c:v>
                </c:pt>
              </c:strCache>
            </c:strRef>
          </c:cat>
          <c:val>
            <c:numRef>
              <c:f>'pivot chart'!$B$4:$B$13</c:f>
              <c:numCache>
                <c:formatCode>General</c:formatCode>
                <c:ptCount val="9"/>
                <c:pt idx="0">
                  <c:v>13244.15</c:v>
                </c:pt>
                <c:pt idx="1">
                  <c:v>11145</c:v>
                </c:pt>
                <c:pt idx="2">
                  <c:v>20739</c:v>
                </c:pt>
                <c:pt idx="3">
                  <c:v>8945.7200000000012</c:v>
                </c:pt>
                <c:pt idx="4">
                  <c:v>12651.81</c:v>
                </c:pt>
                <c:pt idx="5">
                  <c:v>5711</c:v>
                </c:pt>
                <c:pt idx="6">
                  <c:v>13521</c:v>
                </c:pt>
                <c:pt idx="7">
                  <c:v>7312.9</c:v>
                </c:pt>
                <c:pt idx="8">
                  <c:v>24025.75</c:v>
                </c:pt>
              </c:numCache>
            </c:numRef>
          </c:val>
          <c:smooth val="0"/>
          <c:extLst>
            <c:ext xmlns:c16="http://schemas.microsoft.com/office/drawing/2014/chart" uri="{C3380CC4-5D6E-409C-BE32-E72D297353CC}">
              <c16:uniqueId val="{00000000-86B2-486F-A230-4EF459C5FBF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3064959"/>
        <c:axId val="103067359"/>
      </c:lineChart>
      <c:catAx>
        <c:axId val="103064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spc="30" baseline="0">
                <a:solidFill>
                  <a:schemeClr val="lt1"/>
                </a:solidFill>
                <a:latin typeface="+mn-lt"/>
                <a:ea typeface="+mn-ea"/>
                <a:cs typeface="+mn-cs"/>
              </a:defRPr>
            </a:pPr>
            <a:endParaRPr lang="en-US"/>
          </a:p>
        </c:txPr>
        <c:crossAx val="103067359"/>
        <c:crosses val="autoZero"/>
        <c:auto val="1"/>
        <c:lblAlgn val="ctr"/>
        <c:lblOffset val="100"/>
        <c:noMultiLvlLbl val="0"/>
      </c:catAx>
      <c:valAx>
        <c:axId val="103067359"/>
        <c:scaling>
          <c:orientation val="minMax"/>
        </c:scaling>
        <c:delete val="1"/>
        <c:axPos val="l"/>
        <c:numFmt formatCode="General" sourceLinked="1"/>
        <c:majorTickMark val="none"/>
        <c:minorTickMark val="none"/>
        <c:tickLblPos val="nextTo"/>
        <c:crossAx val="1030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chart!PivotTable15</c:name>
    <c:fmtId val="5"/>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WHERE</a:t>
            </a:r>
            <a:r>
              <a:rPr lang="en-US" baseline="0">
                <a:solidFill>
                  <a:schemeClr val="dk1"/>
                </a:solidFill>
                <a:latin typeface="+mn-lt"/>
                <a:ea typeface="+mn-ea"/>
                <a:cs typeface="+mn-cs"/>
              </a:rPr>
              <a:t> MONEY GOES</a:t>
            </a:r>
            <a:endParaRPr lang="en-US">
              <a:latin typeface="Bodoni MT Black" panose="02070A03080606020203" pitchFamily="18" charset="0"/>
            </a:endParaRPr>
          </a:p>
        </c:rich>
      </c:tx>
      <c:layout>
        <c:manualLayout>
          <c:xMode val="edge"/>
          <c:yMode val="edge"/>
          <c:x val="0.39207473364030887"/>
          <c:y val="3.8316210351430513E-2"/>
        </c:manualLayout>
      </c:layout>
      <c:overlay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208934831548085"/>
                  <c:h val="0.11889930456586692"/>
                </c:manualLayout>
              </c15:layout>
            </c:ext>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pivotFmt>
      <c:pivotFmt>
        <c:idx val="19"/>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dLbl>
      </c:pivotFmt>
    </c:pivotFmts>
    <c:plotArea>
      <c:layout/>
      <c:pieChart>
        <c:varyColors val="1"/>
        <c:ser>
          <c:idx val="0"/>
          <c:order val="0"/>
          <c:tx>
            <c:strRef>
              <c:f>'pivot chart'!$H$4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6B-4779-8925-BB6EB67926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6B-4779-8925-BB6EB67926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6B-4779-8925-BB6EB67926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6B-4779-8925-BB6EB679261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6B-4779-8925-BB6EB679261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96B-4779-8925-BB6EB679261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96B-4779-8925-BB6EB679261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96B-4779-8925-BB6EB679261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96B-4779-8925-BB6EB6792616}"/>
              </c:ext>
            </c:extLst>
          </c:dPt>
          <c:dLbls>
            <c:dLbl>
              <c:idx val="2"/>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208934831548085"/>
                      <c:h val="0.11889930456586692"/>
                    </c:manualLayout>
                  </c15:layout>
                </c:ext>
                <c:ext xmlns:c16="http://schemas.microsoft.com/office/drawing/2014/chart" uri="{C3380CC4-5D6E-409C-BE32-E72D297353CC}">
                  <c16:uniqueId val="{00000005-496B-4779-8925-BB6EB67926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chart'!$G$5:$G$17</c:f>
              <c:multiLvlStrCache>
                <c:ptCount val="6"/>
                <c:lvl>
                  <c:pt idx="0">
                    <c:v>Expense</c:v>
                  </c:pt>
                  <c:pt idx="1">
                    <c:v>Expense</c:v>
                  </c:pt>
                  <c:pt idx="2">
                    <c:v>Expense</c:v>
                  </c:pt>
                  <c:pt idx="3">
                    <c:v>Expense</c:v>
                  </c:pt>
                  <c:pt idx="4">
                    <c:v>Expense</c:v>
                  </c:pt>
                  <c:pt idx="5">
                    <c:v>Expense</c:v>
                  </c:pt>
                </c:lvl>
                <c:lvl>
                  <c:pt idx="0">
                    <c:v>apparel</c:v>
                  </c:pt>
                  <c:pt idx="1">
                    <c:v>Education</c:v>
                  </c:pt>
                  <c:pt idx="2">
                    <c:v>Food</c:v>
                  </c:pt>
                  <c:pt idx="3">
                    <c:v>Household</c:v>
                  </c:pt>
                  <c:pt idx="4">
                    <c:v>Other</c:v>
                  </c:pt>
                  <c:pt idx="5">
                    <c:v>Transportation</c:v>
                  </c:pt>
                </c:lvl>
              </c:multiLvlStrCache>
            </c:multiLvlStrRef>
          </c:cat>
          <c:val>
            <c:numRef>
              <c:f>'pivot chart'!$H$5:$H$17</c:f>
              <c:numCache>
                <c:formatCode>General</c:formatCode>
                <c:ptCount val="6"/>
                <c:pt idx="0">
                  <c:v>6075.72</c:v>
                </c:pt>
                <c:pt idx="1">
                  <c:v>14000</c:v>
                </c:pt>
                <c:pt idx="2">
                  <c:v>18472.609999999997</c:v>
                </c:pt>
                <c:pt idx="3">
                  <c:v>44755</c:v>
                </c:pt>
                <c:pt idx="4">
                  <c:v>28229</c:v>
                </c:pt>
                <c:pt idx="5">
                  <c:v>5764</c:v>
                </c:pt>
              </c:numCache>
            </c:numRef>
          </c:val>
          <c:extLst>
            <c:ext xmlns:c16="http://schemas.microsoft.com/office/drawing/2014/chart" uri="{C3380CC4-5D6E-409C-BE32-E72D297353CC}">
              <c16:uniqueId val="{00000012-496B-4779-8925-BB6EB67926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chart!PivotTable16</c:name>
    <c:fmtId val="5"/>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solidFill>
                  <a:schemeClr val="dk1"/>
                </a:solidFill>
                <a:latin typeface="+mn-lt"/>
                <a:ea typeface="+mn-ea"/>
                <a:cs typeface="+mn-cs"/>
              </a:rPr>
              <a:t>mONTHLY</a:t>
            </a:r>
            <a:r>
              <a:rPr lang="en-US" baseline="0">
                <a:solidFill>
                  <a:schemeClr val="dk1"/>
                </a:solidFill>
                <a:latin typeface="+mn-lt"/>
                <a:ea typeface="+mn-ea"/>
                <a:cs typeface="+mn-cs"/>
              </a:rPr>
              <a:t> FINANCIAL ACTIVITY OVERVIEW</a:t>
            </a:r>
            <a:endParaRPr lang="en-US">
              <a:latin typeface="Bookman Old Style" panose="02050604050505020204" pitchFamily="18" charset="0"/>
            </a:endParaRPr>
          </a:p>
        </c:rich>
      </c:tx>
      <c:layout>
        <c:manualLayout>
          <c:xMode val="edge"/>
          <c:yMode val="edge"/>
          <c:x val="0.2156997490961349"/>
          <c:y val="3.7563898544419952E-2"/>
        </c:manualLayout>
      </c:layout>
      <c:overlay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chart'!$L$8</c:f>
              <c:strCache>
                <c:ptCount val="1"/>
                <c:pt idx="0">
                  <c:v>Total</c:v>
                </c:pt>
              </c:strCache>
            </c:strRef>
          </c:tx>
          <c:spPr>
            <a:solidFill>
              <a:schemeClr val="accent1">
                <a:lumMod val="20000"/>
                <a:lumOff val="80000"/>
              </a:schemeClr>
            </a:solidFill>
            <a:ln>
              <a:noFill/>
            </a:ln>
            <a:effectLst/>
            <a:sp3d/>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chart'!$K$9:$K$18</c:f>
              <c:strCache>
                <c:ptCount val="9"/>
                <c:pt idx="0">
                  <c:v>Jan</c:v>
                </c:pt>
                <c:pt idx="1">
                  <c:v>Mar</c:v>
                </c:pt>
                <c:pt idx="2">
                  <c:v>Apr</c:v>
                </c:pt>
                <c:pt idx="3">
                  <c:v>May</c:v>
                </c:pt>
                <c:pt idx="4">
                  <c:v>Jun</c:v>
                </c:pt>
                <c:pt idx="5">
                  <c:v>Aug</c:v>
                </c:pt>
                <c:pt idx="6">
                  <c:v>Oct</c:v>
                </c:pt>
                <c:pt idx="7">
                  <c:v>Nov</c:v>
                </c:pt>
                <c:pt idx="8">
                  <c:v>Dec</c:v>
                </c:pt>
              </c:strCache>
            </c:strRef>
          </c:cat>
          <c:val>
            <c:numRef>
              <c:f>'pivot chart'!$L$9:$L$18</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8427-4EBE-A2C0-6267C805C4A6}"/>
            </c:ext>
          </c:extLst>
        </c:ser>
        <c:dLbls>
          <c:showLegendKey val="0"/>
          <c:showVal val="1"/>
          <c:showCatName val="0"/>
          <c:showSerName val="0"/>
          <c:showPercent val="0"/>
          <c:showBubbleSize val="0"/>
        </c:dLbls>
        <c:gapWidth val="154"/>
        <c:gapDepth val="0"/>
        <c:shape val="box"/>
        <c:axId val="192378767"/>
        <c:axId val="186495791"/>
        <c:axId val="0"/>
      </c:bar3DChart>
      <c:catAx>
        <c:axId val="192378767"/>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cap="all" spc="150" normalizeH="0" baseline="0">
                <a:solidFill>
                  <a:schemeClr val="lt1"/>
                </a:solidFill>
                <a:latin typeface="+mn-lt"/>
                <a:ea typeface="+mn-ea"/>
                <a:cs typeface="+mn-cs"/>
              </a:defRPr>
            </a:pPr>
            <a:endParaRPr lang="en-US"/>
          </a:p>
        </c:txPr>
        <c:crossAx val="186495791"/>
        <c:crosses val="autoZero"/>
        <c:auto val="1"/>
        <c:lblAlgn val="ctr"/>
        <c:lblOffset val="100"/>
        <c:noMultiLvlLbl val="0"/>
      </c:catAx>
      <c:valAx>
        <c:axId val="186495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192378767"/>
        <c:crosses val="autoZero"/>
        <c:crossBetween val="between"/>
      </c:valAx>
      <c:spPr>
        <a:noFill/>
        <a:ln>
          <a:noFill/>
        </a:ln>
        <a:effectLst/>
      </c:spPr>
    </c:plotArea>
    <c:legend>
      <c:legendPos val="r"/>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chart!PivotTable17</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1"/>
                </a:solidFill>
                <a:latin typeface="+mn-lt"/>
                <a:ea typeface="+mn-ea"/>
                <a:cs typeface="+mn-cs"/>
              </a:rPr>
              <a:t>SPENDING</a:t>
            </a:r>
            <a:r>
              <a:rPr lang="en-US" baseline="0">
                <a:solidFill>
                  <a:schemeClr val="tx1"/>
                </a:solidFill>
                <a:latin typeface="+mn-lt"/>
                <a:ea typeface="+mn-ea"/>
                <a:cs typeface="+mn-cs"/>
              </a:rPr>
              <a:t> BY CATOGORY</a:t>
            </a:r>
            <a:endParaRPr lang="en-US">
              <a:solidFill>
                <a:schemeClr val="tx1"/>
              </a:solidFill>
              <a:latin typeface="Bookman Old Style" panose="02050604050505020204" pitchFamily="18" charset="0"/>
            </a:endParaRPr>
          </a:p>
        </c:rich>
      </c:tx>
      <c:layout>
        <c:manualLayout>
          <c:xMode val="edge"/>
          <c:yMode val="edge"/>
          <c:x val="0.40120562742128135"/>
          <c:y val="3.5654792957854245E-2"/>
        </c:manualLayout>
      </c:layout>
      <c:overlay val="0"/>
      <c:spPr>
        <a:solidFill>
          <a:schemeClr val="accent3"/>
        </a:solidFill>
        <a:ln w="19050" cap="flat" cmpd="sng" algn="ctr">
          <a:solidFill>
            <a:schemeClr val="lt1"/>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chart'!$V$9</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chart'!$U$10:$U$11</c:f>
              <c:strCache>
                <c:ptCount val="1"/>
                <c:pt idx="0">
                  <c:v>Lunch unlimited nv</c:v>
                </c:pt>
              </c:strCache>
            </c:strRef>
          </c:cat>
          <c:val>
            <c:numRef>
              <c:f>'pivot chart'!$V$10:$V$11</c:f>
              <c:numCache>
                <c:formatCode>General</c:formatCode>
                <c:ptCount val="1"/>
                <c:pt idx="0">
                  <c:v>300</c:v>
                </c:pt>
              </c:numCache>
            </c:numRef>
          </c:val>
          <c:extLst>
            <c:ext xmlns:c16="http://schemas.microsoft.com/office/drawing/2014/chart" uri="{C3380CC4-5D6E-409C-BE32-E72D297353CC}">
              <c16:uniqueId val="{00000000-1D7A-46F8-9ABE-4275507F7A9E}"/>
            </c:ext>
          </c:extLst>
        </c:ser>
        <c:dLbls>
          <c:dLblPos val="inEnd"/>
          <c:showLegendKey val="0"/>
          <c:showVal val="1"/>
          <c:showCatName val="0"/>
          <c:showSerName val="0"/>
          <c:showPercent val="0"/>
          <c:showBubbleSize val="0"/>
        </c:dLbls>
        <c:gapWidth val="269"/>
        <c:overlap val="-20"/>
        <c:axId val="103081279"/>
        <c:axId val="103081759"/>
      </c:barChart>
      <c:catAx>
        <c:axId val="103081279"/>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800" b="0" i="0" u="none" strike="noStrike" kern="1200" cap="all" spc="150" normalizeH="0" baseline="0">
                <a:solidFill>
                  <a:schemeClr val="lt1"/>
                </a:solidFill>
                <a:latin typeface="+mn-lt"/>
                <a:ea typeface="+mn-ea"/>
                <a:cs typeface="+mn-cs"/>
              </a:defRPr>
            </a:pPr>
            <a:endParaRPr lang="en-US"/>
          </a:p>
        </c:txPr>
        <c:crossAx val="103081759"/>
        <c:crosses val="autoZero"/>
        <c:auto val="1"/>
        <c:lblAlgn val="ctr"/>
        <c:lblOffset val="100"/>
        <c:noMultiLvlLbl val="0"/>
      </c:catAx>
      <c:valAx>
        <c:axId val="10308175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0308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chart'!$B$3</c:f>
              <c:strCache>
                <c:ptCount val="1"/>
                <c:pt idx="0">
                  <c:v>Total</c:v>
                </c:pt>
              </c:strCache>
            </c:strRef>
          </c:tx>
          <c:spPr>
            <a:solidFill>
              <a:schemeClr val="accent1"/>
            </a:solidFill>
            <a:ln>
              <a:noFill/>
            </a:ln>
            <a:effectLst/>
          </c:spPr>
          <c:invertIfNegative val="0"/>
          <c:cat>
            <c:strRef>
              <c:f>'pivot chart'!$A$4:$A$13</c:f>
              <c:strCache>
                <c:ptCount val="9"/>
                <c:pt idx="0">
                  <c:v>Jan</c:v>
                </c:pt>
                <c:pt idx="1">
                  <c:v>Mar</c:v>
                </c:pt>
                <c:pt idx="2">
                  <c:v>Apr</c:v>
                </c:pt>
                <c:pt idx="3">
                  <c:v>May</c:v>
                </c:pt>
                <c:pt idx="4">
                  <c:v>Jun</c:v>
                </c:pt>
                <c:pt idx="5">
                  <c:v>Aug</c:v>
                </c:pt>
                <c:pt idx="6">
                  <c:v>Oct</c:v>
                </c:pt>
                <c:pt idx="7">
                  <c:v>Nov</c:v>
                </c:pt>
                <c:pt idx="8">
                  <c:v>Dec</c:v>
                </c:pt>
              </c:strCache>
            </c:strRef>
          </c:cat>
          <c:val>
            <c:numRef>
              <c:f>'pivot chart'!$B$4:$B$13</c:f>
              <c:numCache>
                <c:formatCode>General</c:formatCode>
                <c:ptCount val="9"/>
                <c:pt idx="0">
                  <c:v>13244.15</c:v>
                </c:pt>
                <c:pt idx="1">
                  <c:v>11145</c:v>
                </c:pt>
                <c:pt idx="2">
                  <c:v>20739</c:v>
                </c:pt>
                <c:pt idx="3">
                  <c:v>8945.7200000000012</c:v>
                </c:pt>
                <c:pt idx="4">
                  <c:v>12651.81</c:v>
                </c:pt>
                <c:pt idx="5">
                  <c:v>5711</c:v>
                </c:pt>
                <c:pt idx="6">
                  <c:v>13521</c:v>
                </c:pt>
                <c:pt idx="7">
                  <c:v>7312.9</c:v>
                </c:pt>
                <c:pt idx="8">
                  <c:v>24025.75</c:v>
                </c:pt>
              </c:numCache>
            </c:numRef>
          </c:val>
          <c:extLst>
            <c:ext xmlns:c16="http://schemas.microsoft.com/office/drawing/2014/chart" uri="{C3380CC4-5D6E-409C-BE32-E72D297353CC}">
              <c16:uniqueId val="{00000000-10F1-4E85-8220-EDCF21F08107}"/>
            </c:ext>
          </c:extLst>
        </c:ser>
        <c:dLbls>
          <c:showLegendKey val="0"/>
          <c:showVal val="0"/>
          <c:showCatName val="0"/>
          <c:showSerName val="0"/>
          <c:showPercent val="0"/>
          <c:showBubbleSize val="0"/>
        </c:dLbls>
        <c:gapWidth val="182"/>
        <c:axId val="103064959"/>
        <c:axId val="103067359"/>
      </c:barChart>
      <c:catAx>
        <c:axId val="10306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67359"/>
        <c:crosses val="autoZero"/>
        <c:auto val="1"/>
        <c:lblAlgn val="ctr"/>
        <c:lblOffset val="100"/>
        <c:noMultiLvlLbl val="0"/>
      </c:catAx>
      <c:valAx>
        <c:axId val="103067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chart'!$L$8</c:f>
              <c:strCache>
                <c:ptCount val="1"/>
                <c:pt idx="0">
                  <c:v>Total</c:v>
                </c:pt>
              </c:strCache>
            </c:strRef>
          </c:tx>
          <c:spPr>
            <a:solidFill>
              <a:schemeClr val="accent1"/>
            </a:solidFill>
            <a:ln>
              <a:noFill/>
            </a:ln>
            <a:effectLst/>
            <a:sp3d/>
          </c:spPr>
          <c:invertIfNegative val="0"/>
          <c:cat>
            <c:strRef>
              <c:f>'pivot chart'!$K$9:$K$18</c:f>
              <c:strCache>
                <c:ptCount val="9"/>
                <c:pt idx="0">
                  <c:v>Jan</c:v>
                </c:pt>
                <c:pt idx="1">
                  <c:v>Mar</c:v>
                </c:pt>
                <c:pt idx="2">
                  <c:v>Apr</c:v>
                </c:pt>
                <c:pt idx="3">
                  <c:v>May</c:v>
                </c:pt>
                <c:pt idx="4">
                  <c:v>Jun</c:v>
                </c:pt>
                <c:pt idx="5">
                  <c:v>Aug</c:v>
                </c:pt>
                <c:pt idx="6">
                  <c:v>Oct</c:v>
                </c:pt>
                <c:pt idx="7">
                  <c:v>Nov</c:v>
                </c:pt>
                <c:pt idx="8">
                  <c:v>Dec</c:v>
                </c:pt>
              </c:strCache>
            </c:strRef>
          </c:cat>
          <c:val>
            <c:numRef>
              <c:f>'pivot chart'!$L$9:$L$18</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D840-45EE-BA38-310ABAC070CA}"/>
            </c:ext>
          </c:extLst>
        </c:ser>
        <c:dLbls>
          <c:showLegendKey val="0"/>
          <c:showVal val="0"/>
          <c:showCatName val="0"/>
          <c:showSerName val="0"/>
          <c:showPercent val="0"/>
          <c:showBubbleSize val="0"/>
        </c:dLbls>
        <c:gapWidth val="150"/>
        <c:shape val="box"/>
        <c:axId val="192378767"/>
        <c:axId val="186495791"/>
        <c:axId val="0"/>
      </c:bar3DChart>
      <c:catAx>
        <c:axId val="19237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5791"/>
        <c:crosses val="autoZero"/>
        <c:auto val="1"/>
        <c:lblAlgn val="ctr"/>
        <c:lblOffset val="100"/>
        <c:noMultiLvlLbl val="0"/>
      </c:catAx>
      <c:valAx>
        <c:axId val="18649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chart'!$H$4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multiLvlStrRef>
              <c:f>'pivot chart'!$G$5:$G$17</c:f>
              <c:multiLvlStrCache>
                <c:ptCount val="6"/>
                <c:lvl>
                  <c:pt idx="0">
                    <c:v>Expense</c:v>
                  </c:pt>
                  <c:pt idx="1">
                    <c:v>Expense</c:v>
                  </c:pt>
                  <c:pt idx="2">
                    <c:v>Expense</c:v>
                  </c:pt>
                  <c:pt idx="3">
                    <c:v>Expense</c:v>
                  </c:pt>
                  <c:pt idx="4">
                    <c:v>Expense</c:v>
                  </c:pt>
                  <c:pt idx="5">
                    <c:v>Expense</c:v>
                  </c:pt>
                </c:lvl>
                <c:lvl>
                  <c:pt idx="0">
                    <c:v>apparel</c:v>
                  </c:pt>
                  <c:pt idx="1">
                    <c:v>Education</c:v>
                  </c:pt>
                  <c:pt idx="2">
                    <c:v>Food</c:v>
                  </c:pt>
                  <c:pt idx="3">
                    <c:v>Household</c:v>
                  </c:pt>
                  <c:pt idx="4">
                    <c:v>Other</c:v>
                  </c:pt>
                  <c:pt idx="5">
                    <c:v>Transportation</c:v>
                  </c:pt>
                </c:lvl>
              </c:multiLvlStrCache>
            </c:multiLvlStrRef>
          </c:cat>
          <c:val>
            <c:numRef>
              <c:f>'pivot chart'!$H$5:$H$17</c:f>
              <c:numCache>
                <c:formatCode>General</c:formatCode>
                <c:ptCount val="6"/>
                <c:pt idx="0">
                  <c:v>6075.72</c:v>
                </c:pt>
                <c:pt idx="1">
                  <c:v>14000</c:v>
                </c:pt>
                <c:pt idx="2">
                  <c:v>18472.609999999997</c:v>
                </c:pt>
                <c:pt idx="3">
                  <c:v>44755</c:v>
                </c:pt>
                <c:pt idx="4">
                  <c:v>28229</c:v>
                </c:pt>
                <c:pt idx="5">
                  <c:v>5764</c:v>
                </c:pt>
              </c:numCache>
            </c:numRef>
          </c:val>
          <c:extLst>
            <c:ext xmlns:c16="http://schemas.microsoft.com/office/drawing/2014/chart" uri="{C3380CC4-5D6E-409C-BE32-E72D297353CC}">
              <c16:uniqueId val="{00000000-417C-487D-8596-3EC18AD965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 DASHBOARD.xlsx]pivot chart!PivotTable17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chart'!$V$9</c:f>
              <c:strCache>
                <c:ptCount val="1"/>
                <c:pt idx="0">
                  <c:v>Total</c:v>
                </c:pt>
              </c:strCache>
            </c:strRef>
          </c:tx>
          <c:spPr>
            <a:solidFill>
              <a:schemeClr val="accent1"/>
            </a:solidFill>
            <a:ln>
              <a:noFill/>
            </a:ln>
            <a:effectLst/>
          </c:spPr>
          <c:invertIfNegative val="0"/>
          <c:cat>
            <c:strRef>
              <c:f>'pivot chart'!$U$10:$U$11</c:f>
              <c:strCache>
                <c:ptCount val="1"/>
                <c:pt idx="0">
                  <c:v>Lunch unlimited nv</c:v>
                </c:pt>
              </c:strCache>
            </c:strRef>
          </c:cat>
          <c:val>
            <c:numRef>
              <c:f>'pivot chart'!$V$10:$V$11</c:f>
              <c:numCache>
                <c:formatCode>General</c:formatCode>
                <c:ptCount val="1"/>
                <c:pt idx="0">
                  <c:v>300</c:v>
                </c:pt>
              </c:numCache>
            </c:numRef>
          </c:val>
          <c:extLst>
            <c:ext xmlns:c16="http://schemas.microsoft.com/office/drawing/2014/chart" uri="{C3380CC4-5D6E-409C-BE32-E72D297353CC}">
              <c16:uniqueId val="{00000000-B810-46C1-8D29-D8EA9243469B}"/>
            </c:ext>
          </c:extLst>
        </c:ser>
        <c:dLbls>
          <c:showLegendKey val="0"/>
          <c:showVal val="0"/>
          <c:showCatName val="0"/>
          <c:showSerName val="0"/>
          <c:showPercent val="0"/>
          <c:showBubbleSize val="0"/>
        </c:dLbls>
        <c:gapWidth val="182"/>
        <c:axId val="103081279"/>
        <c:axId val="103081759"/>
      </c:barChart>
      <c:catAx>
        <c:axId val="10308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81759"/>
        <c:crosses val="autoZero"/>
        <c:auto val="1"/>
        <c:lblAlgn val="ctr"/>
        <c:lblOffset val="100"/>
        <c:noMultiLvlLbl val="0"/>
      </c:catAx>
      <c:valAx>
        <c:axId val="103081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8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jpg"/><Relationship Id="rId3" Type="http://schemas.openxmlformats.org/officeDocument/2006/relationships/chart" Target="../charts/chart3.xml"/><Relationship Id="rId7" Type="http://schemas.openxmlformats.org/officeDocument/2006/relationships/image" Target="../media/image6.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259289</xdr:colOff>
      <xdr:row>0</xdr:row>
      <xdr:rowOff>63500</xdr:rowOff>
    </xdr:from>
    <xdr:to>
      <xdr:col>34</xdr:col>
      <xdr:colOff>144163</xdr:colOff>
      <xdr:row>79</xdr:row>
      <xdr:rowOff>144162</xdr:rowOff>
    </xdr:to>
    <xdr:sp macro="" textlink="">
      <xdr:nvSpPr>
        <xdr:cNvPr id="2" name="Rectangle 1">
          <a:extLst>
            <a:ext uri="{FF2B5EF4-FFF2-40B4-BE49-F238E27FC236}">
              <a16:creationId xmlns:a16="http://schemas.microsoft.com/office/drawing/2014/main" id="{28C8DB56-23C9-2F3D-C9AA-8020E9BFACAA}"/>
            </a:ext>
          </a:extLst>
        </xdr:cNvPr>
        <xdr:cNvSpPr/>
      </xdr:nvSpPr>
      <xdr:spPr>
        <a:xfrm>
          <a:off x="877127" y="63500"/>
          <a:ext cx="20273522" cy="14723419"/>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194966</xdr:colOff>
      <xdr:row>0</xdr:row>
      <xdr:rowOff>67627</xdr:rowOff>
    </xdr:from>
    <xdr:to>
      <xdr:col>27</xdr:col>
      <xdr:colOff>381000</xdr:colOff>
      <xdr:row>6</xdr:row>
      <xdr:rowOff>158597</xdr:rowOff>
    </xdr:to>
    <xdr:sp macro="" textlink="">
      <xdr:nvSpPr>
        <xdr:cNvPr id="3" name="Rectangle: Rounded Corners 2">
          <a:extLst>
            <a:ext uri="{FF2B5EF4-FFF2-40B4-BE49-F238E27FC236}">
              <a16:creationId xmlns:a16="http://schemas.microsoft.com/office/drawing/2014/main" id="{BDF96F42-67BF-AF94-7D13-CFC33DCACA06}"/>
            </a:ext>
          </a:extLst>
        </xdr:cNvPr>
        <xdr:cNvSpPr/>
      </xdr:nvSpPr>
      <xdr:spPr>
        <a:xfrm>
          <a:off x="2052341" y="67627"/>
          <a:ext cx="15045034" cy="1233970"/>
        </a:xfrm>
        <a:prstGeom prst="roundRect">
          <a:avLst/>
        </a:prstGeom>
        <a:solidFill>
          <a:schemeClr val="accent1">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5400"/>
            <a:t>                 </a:t>
          </a:r>
          <a:r>
            <a:rPr lang="en-IN" sz="4000">
              <a:solidFill>
                <a:schemeClr val="bg1"/>
              </a:solidFill>
              <a:latin typeface="Arial Black" panose="020B0A04020102020204" pitchFamily="34" charset="0"/>
            </a:rPr>
            <a:t>PERSONAL</a:t>
          </a:r>
          <a:r>
            <a:rPr lang="en-IN" sz="4000" baseline="0">
              <a:solidFill>
                <a:schemeClr val="bg1"/>
              </a:solidFill>
              <a:latin typeface="Arial Black" panose="020B0A04020102020204" pitchFamily="34" charset="0"/>
            </a:rPr>
            <a:t> FINANCE DASHBOARD</a:t>
          </a:r>
          <a:endParaRPr lang="en-IN" sz="4000">
            <a:solidFill>
              <a:schemeClr val="bg1"/>
            </a:solidFill>
            <a:latin typeface="Arial Black" panose="020B0A04020102020204" pitchFamily="34" charset="0"/>
          </a:endParaRPr>
        </a:p>
      </xdr:txBody>
    </xdr:sp>
    <xdr:clientData/>
  </xdr:twoCellAnchor>
  <xdr:twoCellAnchor>
    <xdr:from>
      <xdr:col>2</xdr:col>
      <xdr:colOff>294656</xdr:colOff>
      <xdr:row>17</xdr:row>
      <xdr:rowOff>44119</xdr:rowOff>
    </xdr:from>
    <xdr:to>
      <xdr:col>15</xdr:col>
      <xdr:colOff>591195</xdr:colOff>
      <xdr:row>45</xdr:row>
      <xdr:rowOff>23707</xdr:rowOff>
    </xdr:to>
    <xdr:graphicFrame macro="">
      <xdr:nvGraphicFramePr>
        <xdr:cNvPr id="5" name="Chart 4">
          <a:extLst>
            <a:ext uri="{FF2B5EF4-FFF2-40B4-BE49-F238E27FC236}">
              <a16:creationId xmlns:a16="http://schemas.microsoft.com/office/drawing/2014/main" id="{D819A4A2-8A75-42E7-A24D-1B4370244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297696</xdr:colOff>
      <xdr:row>17</xdr:row>
      <xdr:rowOff>0</xdr:rowOff>
    </xdr:from>
    <xdr:to>
      <xdr:col>28</xdr:col>
      <xdr:colOff>467031</xdr:colOff>
      <xdr:row>45</xdr:row>
      <xdr:rowOff>49161</xdr:rowOff>
    </xdr:to>
    <xdr:graphicFrame macro="">
      <xdr:nvGraphicFramePr>
        <xdr:cNvPr id="7" name="Chart 6">
          <a:extLst>
            <a:ext uri="{FF2B5EF4-FFF2-40B4-BE49-F238E27FC236}">
              <a16:creationId xmlns:a16="http://schemas.microsoft.com/office/drawing/2014/main" id="{2E6EA743-A5DB-46B2-8864-D7C23ACEE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213478</xdr:colOff>
      <xdr:row>47</xdr:row>
      <xdr:rowOff>73741</xdr:rowOff>
    </xdr:from>
    <xdr:to>
      <xdr:col>15</xdr:col>
      <xdr:colOff>491611</xdr:colOff>
      <xdr:row>76</xdr:row>
      <xdr:rowOff>0</xdr:rowOff>
    </xdr:to>
    <xdr:graphicFrame macro="">
      <xdr:nvGraphicFramePr>
        <xdr:cNvPr id="9" name="Chart 8">
          <a:extLst>
            <a:ext uri="{FF2B5EF4-FFF2-40B4-BE49-F238E27FC236}">
              <a16:creationId xmlns:a16="http://schemas.microsoft.com/office/drawing/2014/main" id="{758B4FA2-F261-4A77-95F5-B802CDA4B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227185</xdr:colOff>
      <xdr:row>46</xdr:row>
      <xdr:rowOff>147482</xdr:rowOff>
    </xdr:from>
    <xdr:to>
      <xdr:col>28</xdr:col>
      <xdr:colOff>540774</xdr:colOff>
      <xdr:row>75</xdr:row>
      <xdr:rowOff>122902</xdr:rowOff>
    </xdr:to>
    <xdr:graphicFrame macro="">
      <xdr:nvGraphicFramePr>
        <xdr:cNvPr id="11" name="Chart 10">
          <a:extLst>
            <a:ext uri="{FF2B5EF4-FFF2-40B4-BE49-F238E27FC236}">
              <a16:creationId xmlns:a16="http://schemas.microsoft.com/office/drawing/2014/main" id="{FAA708DF-FE1E-4C57-BA7D-D2B620AFA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205947</xdr:colOff>
      <xdr:row>39</xdr:row>
      <xdr:rowOff>69931</xdr:rowOff>
    </xdr:from>
    <xdr:to>
      <xdr:col>33</xdr:col>
      <xdr:colOff>375883</xdr:colOff>
      <xdr:row>50</xdr:row>
      <xdr:rowOff>85222</xdr:rowOff>
    </xdr:to>
    <mc:AlternateContent xmlns:mc="http://schemas.openxmlformats.org/markup-compatibility/2006">
      <mc:Choice xmlns:a14="http://schemas.microsoft.com/office/drawing/2010/main" Requires="a14">
        <xdr:graphicFrame macro="">
          <xdr:nvGraphicFramePr>
            <xdr:cNvPr id="17" name="Category 1">
              <a:extLst>
                <a:ext uri="{FF2B5EF4-FFF2-40B4-BE49-F238E27FC236}">
                  <a16:creationId xmlns:a16="http://schemas.microsoft.com/office/drawing/2014/main" id="{48540C57-821C-4EA8-89F3-C35B23478F6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026915" y="7222899"/>
              <a:ext cx="2628000" cy="19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265618</xdr:colOff>
      <xdr:row>13</xdr:row>
      <xdr:rowOff>62140</xdr:rowOff>
    </xdr:from>
    <xdr:to>
      <xdr:col>33</xdr:col>
      <xdr:colOff>417605</xdr:colOff>
      <xdr:row>35</xdr:row>
      <xdr:rowOff>148167</xdr:rowOff>
    </xdr:to>
    <mc:AlternateContent xmlns:mc="http://schemas.openxmlformats.org/markup-compatibility/2006">
      <mc:Choice xmlns:a14="http://schemas.microsoft.com/office/drawing/2010/main" Requires="a14">
        <xdr:graphicFrame macro="">
          <xdr:nvGraphicFramePr>
            <xdr:cNvPr id="21" name="Months (Date / Time) 1">
              <a:extLst>
                <a:ext uri="{FF2B5EF4-FFF2-40B4-BE49-F238E27FC236}">
                  <a16:creationId xmlns:a16="http://schemas.microsoft.com/office/drawing/2014/main" id="{3E60F689-D853-4EB7-A2E0-EA8AA258ED48}"/>
                </a:ext>
              </a:extLst>
            </xdr:cNvPr>
            <xdr:cNvGraphicFramePr/>
          </xdr:nvGraphicFramePr>
          <xdr:xfrm>
            <a:off x="0" y="0"/>
            <a:ext cx="0" cy="0"/>
          </xdr:xfrm>
          <a:graphic>
            <a:graphicData uri="http://schemas.microsoft.com/office/drawing/2010/slicer">
              <sle:slicer xmlns:sle="http://schemas.microsoft.com/office/drawing/2010/slicer" name="Months (Date / Time) 1"/>
            </a:graphicData>
          </a:graphic>
        </xdr:graphicFrame>
      </mc:Choice>
      <mc:Fallback>
        <xdr:sp macro="" textlink="">
          <xdr:nvSpPr>
            <xdr:cNvPr id="0" name=""/>
            <xdr:cNvSpPr>
              <a:spLocks noTextEdit="1"/>
            </xdr:cNvSpPr>
          </xdr:nvSpPr>
          <xdr:spPr>
            <a:xfrm>
              <a:off x="18086586" y="2298979"/>
              <a:ext cx="2610051" cy="4313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326632</xdr:colOff>
      <xdr:row>2</xdr:row>
      <xdr:rowOff>36659</xdr:rowOff>
    </xdr:from>
    <xdr:to>
      <xdr:col>33</xdr:col>
      <xdr:colOff>429603</xdr:colOff>
      <xdr:row>9</xdr:row>
      <xdr:rowOff>158419</xdr:rowOff>
    </xdr:to>
    <mc:AlternateContent xmlns:mc="http://schemas.openxmlformats.org/markup-compatibility/2006">
      <mc:Choice xmlns:a14="http://schemas.microsoft.com/office/drawing/2010/main" Requires="a14">
        <xdr:graphicFrame macro="">
          <xdr:nvGraphicFramePr>
            <xdr:cNvPr id="23" name="Income/Expense 1">
              <a:extLst>
                <a:ext uri="{FF2B5EF4-FFF2-40B4-BE49-F238E27FC236}">
                  <a16:creationId xmlns:a16="http://schemas.microsoft.com/office/drawing/2014/main" id="{2E13B8C7-E80B-43D9-9324-D60161C1BA8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Income/Expense 1"/>
            </a:graphicData>
          </a:graphic>
        </xdr:graphicFrame>
      </mc:Choice>
      <mc:Fallback>
        <xdr:sp macro="" textlink="">
          <xdr:nvSpPr>
            <xdr:cNvPr id="0" name=""/>
            <xdr:cNvSpPr>
              <a:spLocks noTextEdit="1"/>
            </xdr:cNvSpPr>
          </xdr:nvSpPr>
          <xdr:spPr>
            <a:xfrm>
              <a:off x="18147600" y="380788"/>
              <a:ext cx="2561035" cy="1326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235326</xdr:colOff>
      <xdr:row>7</xdr:row>
      <xdr:rowOff>138544</xdr:rowOff>
    </xdr:from>
    <xdr:to>
      <xdr:col>9</xdr:col>
      <xdr:colOff>417871</xdr:colOff>
      <xdr:row>14</xdr:row>
      <xdr:rowOff>122902</xdr:rowOff>
    </xdr:to>
    <xdr:sp macro="" textlink="Sheet1!K5">
      <xdr:nvSpPr>
        <xdr:cNvPr id="26" name="Rectangle: Rounded Corners 25">
          <a:extLst>
            <a:ext uri="{FF2B5EF4-FFF2-40B4-BE49-F238E27FC236}">
              <a16:creationId xmlns:a16="http://schemas.microsoft.com/office/drawing/2014/main" id="{2FCD3809-6C30-6A39-CF85-CFE6E486A94F}"/>
            </a:ext>
          </a:extLst>
        </xdr:cNvPr>
        <xdr:cNvSpPr/>
      </xdr:nvSpPr>
      <xdr:spPr>
        <a:xfrm>
          <a:off x="2693391" y="1342996"/>
          <a:ext cx="3255125" cy="1188809"/>
        </a:xfrm>
        <a:prstGeom prst="round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0" i="0" u="none" strike="noStrike">
              <a:solidFill>
                <a:srgbClr val="000000"/>
              </a:solidFill>
              <a:latin typeface="Calibri"/>
              <a:ea typeface="Calibri"/>
              <a:cs typeface="Calibri"/>
            </a:rPr>
            <a:t>     TOTAL INCOME         </a:t>
          </a:r>
          <a:r>
            <a:rPr lang="en-US" sz="2800" b="0" i="0" u="none" strike="noStrike" baseline="0">
              <a:solidFill>
                <a:srgbClr val="000000"/>
              </a:solidFill>
              <a:latin typeface="Calibri"/>
              <a:ea typeface="Calibri"/>
              <a:cs typeface="Calibri"/>
            </a:rPr>
            <a:t>                                                    </a:t>
          </a:r>
          <a:r>
            <a:rPr lang="en-US" sz="2800" b="0" i="0" u="none" strike="noStrike">
              <a:solidFill>
                <a:srgbClr val="000000"/>
              </a:solidFill>
              <a:latin typeface="Calibri"/>
              <a:ea typeface="Calibri"/>
              <a:cs typeface="Calibri"/>
            </a:rPr>
            <a:t>                      </a:t>
          </a:r>
          <a:fld id="{A0E48B94-2E51-4114-AA13-27ED11B182AB}" type="TxLink">
            <a:rPr lang="en-US" sz="2800" b="0" i="0" u="none" strike="noStrike">
              <a:solidFill>
                <a:srgbClr val="000000"/>
              </a:solidFill>
              <a:latin typeface="Calibri"/>
              <a:ea typeface="Calibri"/>
              <a:cs typeface="Calibri"/>
            </a:rPr>
            <a:t>854297.28</a:t>
          </a:fld>
          <a:endParaRPr lang="en-IN" sz="2800"/>
        </a:p>
      </xdr:txBody>
    </xdr:sp>
    <xdr:clientData/>
  </xdr:twoCellAnchor>
  <xdr:twoCellAnchor>
    <xdr:from>
      <xdr:col>11</xdr:col>
      <xdr:colOff>277091</xdr:colOff>
      <xdr:row>7</xdr:row>
      <xdr:rowOff>82514</xdr:rowOff>
    </xdr:from>
    <xdr:to>
      <xdr:col>16</xdr:col>
      <xdr:colOff>393290</xdr:colOff>
      <xdr:row>14</xdr:row>
      <xdr:rowOff>98323</xdr:rowOff>
    </xdr:to>
    <xdr:sp macro="" textlink="Sheet1!K6">
      <xdr:nvSpPr>
        <xdr:cNvPr id="27" name="Rectangle: Rounded Corners 26">
          <a:extLst>
            <a:ext uri="{FF2B5EF4-FFF2-40B4-BE49-F238E27FC236}">
              <a16:creationId xmlns:a16="http://schemas.microsoft.com/office/drawing/2014/main" id="{35504B84-AF35-41BD-82EC-633A00628BF3}"/>
            </a:ext>
          </a:extLst>
        </xdr:cNvPr>
        <xdr:cNvSpPr/>
      </xdr:nvSpPr>
      <xdr:spPr>
        <a:xfrm>
          <a:off x="7036768" y="1286966"/>
          <a:ext cx="3188780" cy="1220260"/>
        </a:xfrm>
        <a:prstGeom prst="roundRect">
          <a:avLst/>
        </a:prstGeom>
        <a:solidFill>
          <a:srgbClr val="C0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0" i="0" u="none" strike="noStrike">
              <a:solidFill>
                <a:srgbClr val="000000"/>
              </a:solidFill>
              <a:latin typeface="Calibri"/>
              <a:ea typeface="Calibri"/>
              <a:cs typeface="Calibri"/>
            </a:rPr>
            <a:t>   TOTAL</a:t>
          </a:r>
          <a:r>
            <a:rPr lang="en-US" sz="2800" b="0" i="0" u="none" strike="noStrike" baseline="0">
              <a:solidFill>
                <a:srgbClr val="000000"/>
              </a:solidFill>
              <a:latin typeface="Calibri"/>
              <a:ea typeface="Calibri"/>
              <a:cs typeface="Calibri"/>
            </a:rPr>
            <a:t> EXPENSES</a:t>
          </a:r>
          <a:endParaRPr lang="en-US" sz="2800" b="0" i="0" u="none" strike="noStrike">
            <a:solidFill>
              <a:srgbClr val="000000"/>
            </a:solidFill>
            <a:latin typeface="Calibri"/>
            <a:ea typeface="Calibri"/>
            <a:cs typeface="Calibri"/>
          </a:endParaRPr>
        </a:p>
        <a:p>
          <a:pPr algn="l"/>
          <a:r>
            <a:rPr lang="en-US" sz="2800" b="0" i="0" u="none" strike="noStrike">
              <a:solidFill>
                <a:srgbClr val="000000"/>
              </a:solidFill>
              <a:latin typeface="Calibri"/>
              <a:ea typeface="Calibri"/>
              <a:cs typeface="Calibri"/>
            </a:rPr>
            <a:t>    </a:t>
          </a:r>
          <a:fld id="{26C724F3-70D7-4369-A938-BF124E7962C9}" type="TxLink">
            <a:rPr lang="en-US" sz="2800" b="0" i="0" u="none" strike="noStrike">
              <a:solidFill>
                <a:srgbClr val="000000"/>
              </a:solidFill>
              <a:latin typeface="Calibri"/>
              <a:ea typeface="Calibri"/>
              <a:cs typeface="Calibri"/>
            </a:rPr>
            <a:t>149879.28</a:t>
          </a:fld>
          <a:endParaRPr lang="en-IN" sz="2800"/>
        </a:p>
      </xdr:txBody>
    </xdr:sp>
    <xdr:clientData/>
  </xdr:twoCellAnchor>
  <xdr:twoCellAnchor>
    <xdr:from>
      <xdr:col>18</xdr:col>
      <xdr:colOff>476132</xdr:colOff>
      <xdr:row>7</xdr:row>
      <xdr:rowOff>143642</xdr:rowOff>
    </xdr:from>
    <xdr:to>
      <xdr:col>24</xdr:col>
      <xdr:colOff>491613</xdr:colOff>
      <xdr:row>14</xdr:row>
      <xdr:rowOff>98323</xdr:rowOff>
    </xdr:to>
    <xdr:sp macro="" textlink="Sheet1!K7">
      <xdr:nvSpPr>
        <xdr:cNvPr id="28" name="Rectangle: Rounded Corners 27">
          <a:extLst>
            <a:ext uri="{FF2B5EF4-FFF2-40B4-BE49-F238E27FC236}">
              <a16:creationId xmlns:a16="http://schemas.microsoft.com/office/drawing/2014/main" id="{CBE936DB-4697-4272-BA6D-52C4A8931FC9}"/>
            </a:ext>
          </a:extLst>
        </xdr:cNvPr>
        <xdr:cNvSpPr/>
      </xdr:nvSpPr>
      <xdr:spPr>
        <a:xfrm>
          <a:off x="11537422" y="1348094"/>
          <a:ext cx="3702578" cy="1159132"/>
        </a:xfrm>
        <a:prstGeom prst="roundRect">
          <a:avLst/>
        </a:prstGeom>
        <a:solidFill>
          <a:srgbClr val="FFFF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0" i="0" u="none" strike="noStrike">
              <a:solidFill>
                <a:srgbClr val="000000"/>
              </a:solidFill>
              <a:latin typeface="Calibri"/>
              <a:ea typeface="Calibri"/>
              <a:cs typeface="Calibri"/>
            </a:rPr>
            <a:t>TOTAL SAVINGS</a:t>
          </a:r>
        </a:p>
        <a:p>
          <a:pPr algn="l"/>
          <a:r>
            <a:rPr lang="en-US" sz="2800" b="0" i="0" u="none" strike="noStrike">
              <a:solidFill>
                <a:srgbClr val="000000"/>
              </a:solidFill>
              <a:latin typeface="Calibri"/>
              <a:ea typeface="Calibri"/>
              <a:cs typeface="Calibri"/>
            </a:rPr>
            <a:t>        </a:t>
          </a:r>
          <a:fld id="{F3D62170-E617-4861-B47A-F1E49AD94ED8}" type="TxLink">
            <a:rPr lang="en-US" sz="2800" b="0" i="0" u="none" strike="noStrike">
              <a:solidFill>
                <a:srgbClr val="000000"/>
              </a:solidFill>
              <a:latin typeface="Calibri"/>
              <a:ea typeface="Calibri"/>
              <a:cs typeface="Calibri"/>
            </a:rPr>
            <a:t>704418</a:t>
          </a:fld>
          <a:endParaRPr lang="en-IN" sz="2800"/>
        </a:p>
      </xdr:txBody>
    </xdr:sp>
    <xdr:clientData/>
  </xdr:twoCellAnchor>
  <xdr:twoCellAnchor>
    <xdr:from>
      <xdr:col>33</xdr:col>
      <xdr:colOff>440494</xdr:colOff>
      <xdr:row>0</xdr:row>
      <xdr:rowOff>64072</xdr:rowOff>
    </xdr:from>
    <xdr:to>
      <xdr:col>34</xdr:col>
      <xdr:colOff>164757</xdr:colOff>
      <xdr:row>79</xdr:row>
      <xdr:rowOff>164757</xdr:rowOff>
    </xdr:to>
    <xdr:sp macro="" textlink="">
      <xdr:nvSpPr>
        <xdr:cNvPr id="31" name="Rectangle: Rounded Corners 30">
          <a:extLst>
            <a:ext uri="{FF2B5EF4-FFF2-40B4-BE49-F238E27FC236}">
              <a16:creationId xmlns:a16="http://schemas.microsoft.com/office/drawing/2014/main" id="{8E2479F6-9337-F848-9F26-3DF0FF8363CC}"/>
            </a:ext>
          </a:extLst>
        </xdr:cNvPr>
        <xdr:cNvSpPr/>
      </xdr:nvSpPr>
      <xdr:spPr>
        <a:xfrm>
          <a:off x="20829143" y="64072"/>
          <a:ext cx="342100" cy="14743442"/>
        </a:xfrm>
        <a:prstGeom prst="roundRect">
          <a:avLst/>
        </a:prstGeom>
        <a:solidFill>
          <a:schemeClr val="tx1">
            <a:lumMod val="50000"/>
            <a:lumOff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205946</xdr:colOff>
      <xdr:row>77</xdr:row>
      <xdr:rowOff>82379</xdr:rowOff>
    </xdr:from>
    <xdr:to>
      <xdr:col>34</xdr:col>
      <xdr:colOff>226541</xdr:colOff>
      <xdr:row>80</xdr:row>
      <xdr:rowOff>24601</xdr:rowOff>
    </xdr:to>
    <xdr:sp macro="" textlink="">
      <xdr:nvSpPr>
        <xdr:cNvPr id="32" name="Rectangle 31">
          <a:extLst>
            <a:ext uri="{FF2B5EF4-FFF2-40B4-BE49-F238E27FC236}">
              <a16:creationId xmlns:a16="http://schemas.microsoft.com/office/drawing/2014/main" id="{9CD6C42E-8761-97F4-F28A-519354D7811B}"/>
            </a:ext>
          </a:extLst>
        </xdr:cNvPr>
        <xdr:cNvSpPr/>
      </xdr:nvSpPr>
      <xdr:spPr>
        <a:xfrm>
          <a:off x="823784" y="14354433"/>
          <a:ext cx="20409243" cy="498276"/>
        </a:xfrm>
        <a:prstGeom prst="rect">
          <a:avLst/>
        </a:prstGeom>
        <a:solidFill>
          <a:schemeClr val="accent3">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232834</xdr:colOff>
      <xdr:row>1</xdr:row>
      <xdr:rowOff>0</xdr:rowOff>
    </xdr:from>
    <xdr:to>
      <xdr:col>1</xdr:col>
      <xdr:colOff>535459</xdr:colOff>
      <xdr:row>79</xdr:row>
      <xdr:rowOff>102972</xdr:rowOff>
    </xdr:to>
    <xdr:sp macro="" textlink="">
      <xdr:nvSpPr>
        <xdr:cNvPr id="33" name="Rectangle 32">
          <a:extLst>
            <a:ext uri="{FF2B5EF4-FFF2-40B4-BE49-F238E27FC236}">
              <a16:creationId xmlns:a16="http://schemas.microsoft.com/office/drawing/2014/main" id="{0208D804-F7F4-5909-F78F-79B271CAC3D5}"/>
            </a:ext>
          </a:extLst>
        </xdr:cNvPr>
        <xdr:cNvSpPr/>
      </xdr:nvSpPr>
      <xdr:spPr>
        <a:xfrm>
          <a:off x="850672" y="185351"/>
          <a:ext cx="302625" cy="14560378"/>
        </a:xfrm>
        <a:prstGeom prst="rect">
          <a:avLst/>
        </a:prstGeom>
        <a:solidFill>
          <a:schemeClr val="accent3">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380999</xdr:colOff>
      <xdr:row>7</xdr:row>
      <xdr:rowOff>138545</xdr:rowOff>
    </xdr:from>
    <xdr:to>
      <xdr:col>4</xdr:col>
      <xdr:colOff>121227</xdr:colOff>
      <xdr:row>13</xdr:row>
      <xdr:rowOff>121227</xdr:rowOff>
    </xdr:to>
    <xdr:sp macro="" textlink="">
      <xdr:nvSpPr>
        <xdr:cNvPr id="44" name="Oval 43">
          <a:extLst>
            <a:ext uri="{FF2B5EF4-FFF2-40B4-BE49-F238E27FC236}">
              <a16:creationId xmlns:a16="http://schemas.microsoft.com/office/drawing/2014/main" id="{75B2057C-C09C-1322-DBF4-1D547F3848DA}"/>
            </a:ext>
          </a:extLst>
        </xdr:cNvPr>
        <xdr:cNvSpPr/>
      </xdr:nvSpPr>
      <xdr:spPr>
        <a:xfrm>
          <a:off x="1593272" y="1472045"/>
          <a:ext cx="952500" cy="1125682"/>
        </a:xfrm>
        <a:prstGeom prst="ellipse">
          <a:avLst/>
        </a:prstGeom>
        <a:solidFill>
          <a:schemeClr val="accent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502227</xdr:colOff>
      <xdr:row>9</xdr:row>
      <xdr:rowOff>34636</xdr:rowOff>
    </xdr:from>
    <xdr:to>
      <xdr:col>4</xdr:col>
      <xdr:colOff>24988</xdr:colOff>
      <xdr:row>12</xdr:row>
      <xdr:rowOff>173181</xdr:rowOff>
    </xdr:to>
    <xdr:pic>
      <xdr:nvPicPr>
        <xdr:cNvPr id="45" name="Picture 44">
          <a:extLst>
            <a:ext uri="{FF2B5EF4-FFF2-40B4-BE49-F238E27FC236}">
              <a16:creationId xmlns:a16="http://schemas.microsoft.com/office/drawing/2014/main" id="{8555D7BC-4375-F6EC-B85D-8776A88E6A6A}"/>
            </a:ext>
          </a:extLst>
        </xdr:cNvPr>
        <xdr:cNvPicPr>
          <a:picLocks noChangeAspect="1"/>
        </xdr:cNvPicPr>
      </xdr:nvPicPr>
      <xdr:blipFill>
        <a:blip xmlns:r="http://schemas.openxmlformats.org/officeDocument/2006/relationships" r:embed="rId5"/>
        <a:stretch>
          <a:fillRect/>
        </a:stretch>
      </xdr:blipFill>
      <xdr:spPr>
        <a:xfrm>
          <a:off x="1714500" y="1749136"/>
          <a:ext cx="735033" cy="71004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10</xdr:col>
      <xdr:colOff>0</xdr:colOff>
      <xdr:row>7</xdr:row>
      <xdr:rowOff>155862</xdr:rowOff>
    </xdr:from>
    <xdr:to>
      <xdr:col>11</xdr:col>
      <xdr:colOff>259773</xdr:colOff>
      <xdr:row>13</xdr:row>
      <xdr:rowOff>69273</xdr:rowOff>
    </xdr:to>
    <xdr:sp macro="" textlink="">
      <xdr:nvSpPr>
        <xdr:cNvPr id="46" name="Oval 45">
          <a:extLst>
            <a:ext uri="{FF2B5EF4-FFF2-40B4-BE49-F238E27FC236}">
              <a16:creationId xmlns:a16="http://schemas.microsoft.com/office/drawing/2014/main" id="{0A81614C-65A9-C250-0887-B516CB258155}"/>
            </a:ext>
          </a:extLst>
        </xdr:cNvPr>
        <xdr:cNvSpPr/>
      </xdr:nvSpPr>
      <xdr:spPr>
        <a:xfrm>
          <a:off x="6061364" y="1489362"/>
          <a:ext cx="865909" cy="1056411"/>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138547</xdr:colOff>
      <xdr:row>9</xdr:row>
      <xdr:rowOff>103909</xdr:rowOff>
    </xdr:from>
    <xdr:to>
      <xdr:col>11</xdr:col>
      <xdr:colOff>166523</xdr:colOff>
      <xdr:row>12</xdr:row>
      <xdr:rowOff>17318</xdr:rowOff>
    </xdr:to>
    <xdr:pic>
      <xdr:nvPicPr>
        <xdr:cNvPr id="47" name="Picture 46">
          <a:extLst>
            <a:ext uri="{FF2B5EF4-FFF2-40B4-BE49-F238E27FC236}">
              <a16:creationId xmlns:a16="http://schemas.microsoft.com/office/drawing/2014/main" id="{754FC113-302F-E4E1-4156-9F268BD136A0}"/>
            </a:ext>
          </a:extLst>
        </xdr:cNvPr>
        <xdr:cNvPicPr>
          <a:picLocks noChangeAspect="1"/>
        </xdr:cNvPicPr>
      </xdr:nvPicPr>
      <xdr:blipFill>
        <a:blip xmlns:r="http://schemas.openxmlformats.org/officeDocument/2006/relationships" r:embed="rId6"/>
        <a:stretch>
          <a:fillRect/>
        </a:stretch>
      </xdr:blipFill>
      <xdr:spPr>
        <a:xfrm>
          <a:off x="6199911" y="1818409"/>
          <a:ext cx="634112" cy="48490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17</xdr:col>
      <xdr:colOff>103910</xdr:colOff>
      <xdr:row>8</xdr:row>
      <xdr:rowOff>17318</xdr:rowOff>
    </xdr:from>
    <xdr:to>
      <xdr:col>18</xdr:col>
      <xdr:colOff>381001</xdr:colOff>
      <xdr:row>13</xdr:row>
      <xdr:rowOff>51955</xdr:rowOff>
    </xdr:to>
    <xdr:sp macro="" textlink="">
      <xdr:nvSpPr>
        <xdr:cNvPr id="48" name="Oval 47">
          <a:extLst>
            <a:ext uri="{FF2B5EF4-FFF2-40B4-BE49-F238E27FC236}">
              <a16:creationId xmlns:a16="http://schemas.microsoft.com/office/drawing/2014/main" id="{24C9BB06-FA06-AF37-984A-1189F44825EE}"/>
            </a:ext>
          </a:extLst>
        </xdr:cNvPr>
        <xdr:cNvSpPr/>
      </xdr:nvSpPr>
      <xdr:spPr>
        <a:xfrm>
          <a:off x="10408228" y="1541318"/>
          <a:ext cx="883228" cy="987137"/>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207816</xdr:colOff>
      <xdr:row>9</xdr:row>
      <xdr:rowOff>34635</xdr:rowOff>
    </xdr:from>
    <xdr:to>
      <xdr:col>18</xdr:col>
      <xdr:colOff>277090</xdr:colOff>
      <xdr:row>12</xdr:row>
      <xdr:rowOff>74741</xdr:rowOff>
    </xdr:to>
    <xdr:pic>
      <xdr:nvPicPr>
        <xdr:cNvPr id="43" name="Picture 42">
          <a:extLst>
            <a:ext uri="{FF2B5EF4-FFF2-40B4-BE49-F238E27FC236}">
              <a16:creationId xmlns:a16="http://schemas.microsoft.com/office/drawing/2014/main" id="{98B2D621-B773-C4CE-09AA-1C8906EE78F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V="1">
          <a:off x="10512134" y="1749135"/>
          <a:ext cx="675411" cy="61160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5</xdr:col>
      <xdr:colOff>577994</xdr:colOff>
      <xdr:row>1</xdr:row>
      <xdr:rowOff>121228</xdr:rowOff>
    </xdr:from>
    <xdr:to>
      <xdr:col>7</xdr:col>
      <xdr:colOff>75767</xdr:colOff>
      <xdr:row>5</xdr:row>
      <xdr:rowOff>69274</xdr:rowOff>
    </xdr:to>
    <xdr:pic>
      <xdr:nvPicPr>
        <xdr:cNvPr id="50" name="Picture 49">
          <a:extLst>
            <a:ext uri="{FF2B5EF4-FFF2-40B4-BE49-F238E27FC236}">
              <a16:creationId xmlns:a16="http://schemas.microsoft.com/office/drawing/2014/main" id="{B0D753CA-F097-01BF-0470-EA68937B7A9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673619" y="311728"/>
          <a:ext cx="736023" cy="7100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297180</xdr:colOff>
      <xdr:row>17</xdr:row>
      <xdr:rowOff>7620</xdr:rowOff>
    </xdr:from>
    <xdr:to>
      <xdr:col>5</xdr:col>
      <xdr:colOff>152400</xdr:colOff>
      <xdr:row>30</xdr:row>
      <xdr:rowOff>57150</xdr:rowOff>
    </xdr:to>
    <xdr:graphicFrame macro="">
      <xdr:nvGraphicFramePr>
        <xdr:cNvPr id="2" name="Chart 1">
          <a:extLst>
            <a:ext uri="{FF2B5EF4-FFF2-40B4-BE49-F238E27FC236}">
              <a16:creationId xmlns:a16="http://schemas.microsoft.com/office/drawing/2014/main" id="{F84B3162-6872-DE43-58B1-5513A848F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205740</xdr:colOff>
      <xdr:row>21</xdr:row>
      <xdr:rowOff>160020</xdr:rowOff>
    </xdr:from>
    <xdr:to>
      <xdr:col>20</xdr:col>
      <xdr:colOff>45720</xdr:colOff>
      <xdr:row>37</xdr:row>
      <xdr:rowOff>102870</xdr:rowOff>
    </xdr:to>
    <xdr:graphicFrame macro="">
      <xdr:nvGraphicFramePr>
        <xdr:cNvPr id="4" name="Chart 3">
          <a:extLst>
            <a:ext uri="{FF2B5EF4-FFF2-40B4-BE49-F238E27FC236}">
              <a16:creationId xmlns:a16="http://schemas.microsoft.com/office/drawing/2014/main" id="{9A3687AB-3375-E090-862F-1AC877D3D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331304</xdr:colOff>
      <xdr:row>37</xdr:row>
      <xdr:rowOff>108226</xdr:rowOff>
    </xdr:from>
    <xdr:to>
      <xdr:col>8</xdr:col>
      <xdr:colOff>165652</xdr:colOff>
      <xdr:row>52</xdr:row>
      <xdr:rowOff>35339</xdr:rowOff>
    </xdr:to>
    <xdr:graphicFrame macro="">
      <xdr:nvGraphicFramePr>
        <xdr:cNvPr id="5" name="Chart 4">
          <a:extLst>
            <a:ext uri="{FF2B5EF4-FFF2-40B4-BE49-F238E27FC236}">
              <a16:creationId xmlns:a16="http://schemas.microsoft.com/office/drawing/2014/main" id="{BC1519B2-3C20-8A59-C8C3-A5BDBAAAB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10886</xdr:colOff>
      <xdr:row>107</xdr:row>
      <xdr:rowOff>152400</xdr:rowOff>
    </xdr:from>
    <xdr:to>
      <xdr:col>18</xdr:col>
      <xdr:colOff>315686</xdr:colOff>
      <xdr:row>122</xdr:row>
      <xdr:rowOff>119743</xdr:rowOff>
    </xdr:to>
    <xdr:graphicFrame macro="">
      <xdr:nvGraphicFramePr>
        <xdr:cNvPr id="6" name="Chart 5">
          <a:extLst>
            <a:ext uri="{FF2B5EF4-FFF2-40B4-BE49-F238E27FC236}">
              <a16:creationId xmlns:a16="http://schemas.microsoft.com/office/drawing/2014/main" id="{4E98D923-BE3D-CBBB-E4F4-F1A7E3514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477864</xdr:colOff>
      <xdr:row>14</xdr:row>
      <xdr:rowOff>64447</xdr:rowOff>
    </xdr:from>
    <xdr:to>
      <xdr:col>22</xdr:col>
      <xdr:colOff>601851</xdr:colOff>
      <xdr:row>28</xdr:row>
      <xdr:rowOff>32</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3D7F23EE-6192-2E51-77DC-C185A1DD23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609017" y="25958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131348</xdr:colOff>
      <xdr:row>8</xdr:row>
      <xdr:rowOff>118304</xdr:rowOff>
    </xdr:from>
    <xdr:to>
      <xdr:col>35</xdr:col>
      <xdr:colOff>100351</xdr:colOff>
      <xdr:row>22</xdr:row>
      <xdr:rowOff>53889</xdr:rowOff>
    </xdr:to>
    <mc:AlternateContent xmlns:mc="http://schemas.openxmlformats.org/markup-compatibility/2006">
      <mc:Choice xmlns:a14="http://schemas.microsoft.com/office/drawing/2010/main" Requires="a14">
        <xdr:graphicFrame macro="">
          <xdr:nvGraphicFramePr>
            <xdr:cNvPr id="15" name="Income/Expense">
              <a:extLst>
                <a:ext uri="{FF2B5EF4-FFF2-40B4-BE49-F238E27FC236}">
                  <a16:creationId xmlns:a16="http://schemas.microsoft.com/office/drawing/2014/main" id="{4A3CE371-B5DF-50F8-C981-2DFEAE1E4086}"/>
                </a:ext>
              </a:extLst>
            </xdr:cNvPr>
            <xdr:cNvGraphicFramePr/>
          </xdr:nvGraphicFramePr>
          <xdr:xfrm>
            <a:off x="0" y="0"/>
            <a:ext cx="0" cy="0"/>
          </xdr:xfrm>
          <a:graphic>
            <a:graphicData uri="http://schemas.microsoft.com/office/drawing/2010/slicer">
              <sle:slicer xmlns:sle="http://schemas.microsoft.com/office/drawing/2010/slicer" name="Income/Expense"/>
            </a:graphicData>
          </a:graphic>
        </xdr:graphicFrame>
      </mc:Choice>
      <mc:Fallback>
        <xdr:sp macro="" textlink="">
          <xdr:nvSpPr>
            <xdr:cNvPr id="0" name=""/>
            <xdr:cNvSpPr>
              <a:spLocks noTextEdit="1"/>
            </xdr:cNvSpPr>
          </xdr:nvSpPr>
          <xdr:spPr>
            <a:xfrm>
              <a:off x="20007924" y="156481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366018</xdr:colOff>
      <xdr:row>19</xdr:row>
      <xdr:rowOff>68838</xdr:rowOff>
    </xdr:from>
    <xdr:to>
      <xdr:col>32</xdr:col>
      <xdr:colOff>115462</xdr:colOff>
      <xdr:row>33</xdr:row>
      <xdr:rowOff>4424</xdr:rowOff>
    </xdr:to>
    <mc:AlternateContent xmlns:mc="http://schemas.openxmlformats.org/markup-compatibility/2006">
      <mc:Choice xmlns:a14="http://schemas.microsoft.com/office/drawing/2010/main" Requires="a14">
        <xdr:graphicFrame macro="">
          <xdr:nvGraphicFramePr>
            <xdr:cNvPr id="16" name="Months (Date / Time)">
              <a:extLst>
                <a:ext uri="{FF2B5EF4-FFF2-40B4-BE49-F238E27FC236}">
                  <a16:creationId xmlns:a16="http://schemas.microsoft.com/office/drawing/2014/main" id="{678389A4-86E5-3F02-AE9A-814CD35CDA6D}"/>
                </a:ext>
              </a:extLst>
            </xdr:cNvPr>
            <xdr:cNvGraphicFramePr/>
          </xdr:nvGraphicFramePr>
          <xdr:xfrm>
            <a:off x="0" y="0"/>
            <a:ext cx="0" cy="0"/>
          </xdr:xfrm>
          <a:graphic>
            <a:graphicData uri="http://schemas.microsoft.com/office/drawing/2010/slicer">
              <sle:slicer xmlns:sle="http://schemas.microsoft.com/office/drawing/2010/slicer" name="Months (Date / Time)"/>
            </a:graphicData>
          </a:graphic>
        </xdr:graphicFrame>
      </mc:Choice>
      <mc:Fallback>
        <xdr:sp macro="" textlink="">
          <xdr:nvSpPr>
            <xdr:cNvPr id="0" name=""/>
            <xdr:cNvSpPr>
              <a:spLocks noTextEdit="1"/>
            </xdr:cNvSpPr>
          </xdr:nvSpPr>
          <xdr:spPr>
            <a:xfrm>
              <a:off x="19403103" y="35042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65738</xdr:colOff>
      <xdr:row>13</xdr:row>
      <xdr:rowOff>175002</xdr:rowOff>
    </xdr:from>
    <xdr:to>
      <xdr:col>21</xdr:col>
      <xdr:colOff>267216</xdr:colOff>
      <xdr:row>27</xdr:row>
      <xdr:rowOff>110587</xdr:rowOff>
    </xdr:to>
    <mc:AlternateContent xmlns:mc="http://schemas.openxmlformats.org/markup-compatibility/2006">
      <mc:Choice xmlns:a14="http://schemas.microsoft.com/office/drawing/2010/main" Requires="a14">
        <xdr:graphicFrame macro="">
          <xdr:nvGraphicFramePr>
            <xdr:cNvPr id="17" name="Sub category">
              <a:extLst>
                <a:ext uri="{FF2B5EF4-FFF2-40B4-BE49-F238E27FC236}">
                  <a16:creationId xmlns:a16="http://schemas.microsoft.com/office/drawing/2014/main" id="{13755CC5-7C3B-744A-D737-F05D16909309}"/>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14569569" y="252557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E K.S" refreshedDate="46134.591817129629" createdVersion="8" refreshedVersion="8" minRefreshableVersion="3" recordCount="225" xr:uid="{B3CD51DD-A0A5-40C2-8578-79BD660D0A82}">
  <cacheSource type="worksheet">
    <worksheetSource ref="A1:H226" sheet="Sheet1"/>
  </cacheSource>
  <cacheFields count="10">
    <cacheField name="Date / Time" numFmtId="164">
      <sharedItems containsSemiMixedTypes="0" containsNonDate="0" containsDate="1" containsString="0" minDate="2021-01-01T21:45:00" maxDate="2021-12-30T14:10:00" count="212">
        <d v="2021-01-01T21:45:00"/>
        <d v="2021-01-01T21:46:00"/>
        <d v="2021-01-03T18:21:00"/>
        <d v="2021-01-03T18:22:00"/>
        <d v="2021-01-03T18:56:00"/>
        <d v="2021-01-03T19:50:00"/>
        <d v="2021-01-12T14:00:00"/>
        <d v="2021-01-13T17:47:00"/>
        <d v="2021-01-13T20:46:00"/>
        <d v="2021-01-14T16:56:00"/>
        <d v="2021-01-15T21:16:00"/>
        <d v="2021-01-17T18:31:00"/>
        <d v="2021-01-18T13:51:00"/>
        <d v="2021-01-18T17:10:00"/>
        <d v="2021-01-18T20:54:00"/>
        <d v="2021-01-19T14:27:00"/>
        <d v="2021-01-21T11:47:00"/>
        <d v="2021-01-21T14:22:00"/>
        <d v="2021-01-23T21:27:00"/>
        <d v="2021-01-23T21:29:00"/>
        <d v="2021-01-25T10:23:00"/>
        <d v="2021-01-26T16:52:00"/>
        <d v="2021-01-26T17:45:00"/>
        <d v="2021-01-27T13:38:00"/>
        <d v="2021-01-27T13:39:00"/>
        <d v="2021-01-27T13:41:00"/>
        <d v="2021-01-28T14:23:00"/>
        <d v="2021-01-28T21:58:00"/>
        <d v="2021-01-29T14:44:00"/>
        <d v="2021-01-30T12:28:00"/>
        <d v="2021-01-30T19:01:00"/>
        <d v="2021-01-30T19:17:00"/>
        <d v="2021-01-31T08:27:00"/>
        <d v="2021-02-01T14:16:00"/>
        <d v="2021-02-01T20:32:00"/>
        <d v="2021-02-01T20:33:00"/>
        <d v="2021-02-02T20:15:00"/>
        <d v="2021-02-03T10:11:00"/>
        <d v="2021-02-13T21:54:00"/>
        <d v="2021-02-16T16:57:00"/>
        <d v="2021-02-17T13:11:00"/>
        <d v="2021-02-18T23:01:00"/>
        <d v="2021-02-19T06:18:00"/>
        <d v="2021-02-19T06:27:00"/>
        <d v="2021-02-19T08:26:00"/>
        <d v="2021-02-19T21:35:00"/>
        <d v="2021-02-19T21:57:00"/>
        <d v="2021-02-19T23:03:00"/>
        <d v="2021-02-20T15:24:00"/>
        <d v="2021-02-21T15:38:00"/>
        <d v="2021-02-21T15:40:00"/>
        <d v="2021-02-21T22:15:00"/>
        <d v="2021-02-23T16:06:00"/>
        <d v="2021-02-23T17:35:00"/>
        <d v="2021-02-24T22:21:00"/>
        <d v="2021-02-26T01:39:00"/>
        <d v="2021-02-26T17:37:00"/>
        <d v="2021-02-27T15:29:00"/>
        <d v="2021-02-28T11:45:00"/>
        <d v="2021-02-28T11:56:00"/>
        <d v="2021-03-01T14:30:00"/>
        <d v="2021-03-01T14:31:00"/>
        <d v="2021-03-01T21:11:00"/>
        <d v="2021-03-01T21:54:00"/>
        <d v="2021-03-01T22:15:00"/>
        <d v="2021-03-02T08:59:00"/>
        <d v="2021-03-02T14:53:00"/>
        <d v="2021-03-15T21:17:00"/>
        <d v="2021-03-21T21:12:00"/>
        <d v="2021-03-22T06:33:00"/>
        <d v="2021-03-23T12:38:00"/>
        <d v="2021-03-31T08:26:00"/>
        <d v="2021-04-01T07:58:00"/>
        <d v="2021-04-01T08:01:00"/>
        <d v="2021-04-01T13:53:00"/>
        <d v="2021-04-01T22:11:00"/>
        <d v="2021-04-03T10:11:00"/>
        <d v="2021-04-19T20:45:00"/>
        <d v="2021-04-21T22:10:00"/>
        <d v="2021-04-22T06:33:00"/>
        <d v="2021-04-22T20:28:00"/>
        <d v="2021-04-25T20:46:00"/>
        <d v="2021-05-01T14:30:00"/>
        <d v="2021-05-01T14:35:00"/>
        <d v="2021-05-01T14:37:00"/>
        <d v="2021-05-01T14:39:00"/>
        <d v="2021-05-01T14:42:00"/>
        <d v="2021-05-01T14:46:00"/>
        <d v="2021-05-18T19:51:00"/>
        <d v="2021-05-21T20:23:00"/>
        <d v="2021-05-22T06:33:00"/>
        <d v="2021-05-31T08:44:00"/>
        <d v="2021-06-01T11:48:00"/>
        <d v="2021-06-01T14:22:00"/>
        <d v="2021-06-01T20:13:00"/>
        <d v="2021-06-01T20:58:00"/>
        <d v="2021-06-01T21:30:00"/>
        <d v="2021-06-02T16:40:00"/>
        <d v="2021-06-02T17:52:00"/>
        <d v="2021-06-02T17:53:00"/>
        <d v="2021-06-02T18:32:00"/>
        <d v="2021-06-02T21:20:00"/>
        <d v="2021-06-14T15:18:00"/>
        <d v="2021-06-22T06:33:00"/>
        <d v="2021-06-22T16:41:00"/>
        <d v="2021-07-01T13:51:00"/>
        <d v="2021-07-02T07:08:00"/>
        <d v="2021-07-18T12:59:00"/>
        <d v="2021-07-22T06:33:00"/>
        <d v="2021-07-23T21:29:00"/>
        <d v="2021-07-24T21:49:00"/>
        <d v="2021-07-25T13:35:00"/>
        <d v="2021-07-26T17:37:00"/>
        <d v="2021-07-27T13:38:00"/>
        <d v="2021-08-01T13:38:00"/>
        <d v="2021-08-01T13:45:00"/>
        <d v="2021-08-01T13:46:00"/>
        <d v="2021-08-02T10:37:00"/>
        <d v="2021-08-02T20:14:00"/>
        <d v="2021-08-17T08:35:00"/>
        <d v="2021-08-21T16:06:00"/>
        <d v="2021-08-24T19:15:00"/>
        <d v="2021-08-26T14:07:00"/>
        <d v="2021-08-27T21:25:00"/>
        <d v="2021-08-30T11:44:00"/>
        <d v="2021-09-02T09:18:00"/>
        <d v="2021-09-03T18:22:00"/>
        <d v="2021-09-14T16:58:00"/>
        <d v="2021-09-23T21:29:00"/>
        <d v="2021-09-23T21:41:00"/>
        <d v="2021-09-23T21:45:00"/>
        <d v="2021-09-24T14:08:00"/>
        <d v="2021-09-24T20:17:00"/>
        <d v="2021-09-25T09:20:00"/>
        <d v="2021-09-27T13:41:00"/>
        <d v="2021-10-01T14:04:00"/>
        <d v="2021-10-01T21:11:00"/>
        <d v="2021-10-01T21:54:00"/>
        <d v="2021-10-02T09:18:00"/>
        <d v="2021-10-02T20:15:00"/>
        <d v="2021-10-14T21:03:00"/>
        <d v="2021-10-16T10:42:00"/>
        <d v="2021-10-18T21:01:00"/>
        <d v="2021-10-27T12:33:00"/>
        <d v="2021-10-30T11:45:00"/>
        <d v="2021-10-30T12:38:00"/>
        <d v="2021-11-01T14:07:00"/>
        <d v="2021-11-02T09:18:00"/>
        <d v="2021-11-02T22:41:00"/>
        <d v="2021-11-13T19:10:00"/>
        <d v="2021-11-14T16:54:00"/>
        <d v="2021-11-14T16:55:00"/>
        <d v="2021-11-14T16:56:00"/>
        <d v="2021-11-18T12:59:00"/>
        <d v="2021-11-27T18:41:00"/>
        <d v="2021-11-27T22:34:00"/>
        <d v="2021-11-27T23:14:00"/>
        <d v="2021-11-28T13:10:00"/>
        <d v="2021-11-28T19:59:00"/>
        <d v="2021-11-29T09:29:00"/>
        <d v="2021-11-29T20:09:00"/>
        <d v="2021-11-29T20:47:00"/>
        <d v="2021-11-29T21:56:00"/>
        <d v="2021-11-30T10:11:00"/>
        <d v="2021-11-30T14:17:00"/>
        <d v="2021-11-30T14:24:00"/>
        <d v="2021-12-01T13:25:00"/>
        <d v="2021-12-01T22:44:00"/>
        <d v="2021-12-02T14:47:00"/>
        <d v="2021-12-02T14:48:00"/>
        <d v="2021-12-02T16:04:00"/>
        <d v="2021-12-12T21:47:00"/>
        <d v="2021-12-14T10:33:00"/>
        <d v="2021-12-14T21:21:00"/>
        <d v="2021-12-14T23:54:00"/>
        <d v="2021-12-16T13:38:00"/>
        <d v="2021-12-16T18:35:00"/>
        <d v="2021-12-16T18:44:00"/>
        <d v="2021-12-17T14:45:00"/>
        <d v="2021-12-17T18:54:00"/>
        <d v="2021-12-18T14:19:00"/>
        <d v="2021-12-18T19:52:00"/>
        <d v="2021-12-18T21:00:00"/>
        <d v="2021-12-18T21:01:00"/>
        <d v="2021-12-19T15:51:00"/>
        <d v="2021-12-20T09:46:00"/>
        <d v="2021-12-20T13:35:00"/>
        <d v="2021-12-20T15:29:00"/>
        <d v="2021-12-20T16:55:00"/>
        <d v="2021-12-20T19:22:00"/>
        <d v="2021-12-20T19:23:00"/>
        <d v="2021-12-21T11:43:00"/>
        <d v="2021-12-21T14:02:00"/>
        <d v="2021-12-21T20:53:00"/>
        <d v="2021-12-23T13:51:00"/>
        <d v="2021-12-23T16:31:00"/>
        <d v="2021-12-24T14:35:00"/>
        <d v="2021-12-25T13:32:00"/>
        <d v="2021-12-25T15:35:00"/>
        <d v="2021-12-25T17:01:00"/>
        <d v="2021-12-25T19:50:00"/>
        <d v="2021-12-25T22:53:00"/>
        <d v="2021-12-27T12:33:00"/>
        <d v="2021-12-27T13:44:00"/>
        <d v="2021-12-27T13:45:00"/>
        <d v="2021-12-28T13:42:00"/>
        <d v="2021-12-30T11:45:00"/>
        <d v="2021-12-30T12:37:00"/>
        <d v="2021-12-30T12:43:00"/>
        <d v="2021-12-30T13:36:00"/>
        <d v="2021-12-30T13:56:00"/>
        <d v="2021-12-30T14:10:00"/>
      </sharedItems>
      <fieldGroup par="9"/>
    </cacheField>
    <cacheField name="Mode" numFmtId="0">
      <sharedItems count="1">
        <s v="CUB - online payment"/>
      </sharedItems>
    </cacheField>
    <cacheField name="Category" numFmtId="0">
      <sharedItems count="8">
        <s v="Allowance"/>
        <s v="Food"/>
        <s v="Other"/>
        <s v="Household"/>
        <s v="Transportation"/>
        <s v="apparel"/>
        <s v="salary"/>
        <s v="Education"/>
      </sharedItems>
    </cacheField>
    <cacheField name="Sub category" numFmtId="0">
      <sharedItems count="134">
        <s v="From dad"/>
        <s v="Snacks"/>
        <s v="Stuffs"/>
        <s v="Metro"/>
        <s v="Dinner"/>
        <s v="Lunch with company"/>
        <s v="Rapido to pg"/>
        <s v="Gundan + prasanna"/>
        <s v="Eve snack"/>
        <s v="Snack with preethi"/>
        <s v="Lunch + chocolate for preethi"/>
        <s v="From vicky"/>
        <s v="Snacks with preethi and azar"/>
        <s v="Badminton"/>
        <s v="Lemon tea"/>
        <s v="Paani poori"/>
        <s v="Vishnu 100 gowdham 25"/>
        <s v="office"/>
        <s v="Zinger box meal"/>
        <s v="To vishnu"/>
        <s v="Banana"/>
        <s v="Sent to barath"/>
        <s v="Brunch"/>
        <s v="Cycle gap "/>
        <s v="To vicky"/>
        <s v="Train to vnr"/>
        <s v="Dinner with barath"/>
        <s v="Tablet to gowdham"/>
        <s v="Parotta"/>
        <s v="Brownie"/>
        <s v="Games "/>
        <s v="Kfc "/>
        <s v="Side dishes"/>
        <s v="Lunch"/>
        <s v="Kfc dinner"/>
        <s v="To egmore"/>
        <s v="To auto anna"/>
        <s v="Bus ticket"/>
        <s v="Random stuff for drinks"/>
        <s v="Train cbe to chn"/>
        <s v="It better be worth it"/>
        <s v="Eggs"/>
        <s v="Hoodie for gobi"/>
        <s v="Creamstone"/>
        <s v="Tea lights"/>
        <s v="To karthi"/>
        <s v="Pizza"/>
        <s v="From abi"/>
        <s v="Lunch unlimited nv"/>
        <s v="From shakur"/>
        <s v="From barath"/>
        <s v="Dairy milk"/>
        <s v="To gowdham"/>
        <s v="Good soup"/>
        <s v="Bus to Bangalore"/>
        <s v="Earphone"/>
        <s v="To ksr station"/>
        <s v="Sent to preethi"/>
        <s v="Arrear and reval fee"/>
        <s v="To lended people"/>
        <s v="Took from sbi"/>
        <s v="Ramen with gobi"/>
        <s v="Shawarma"/>
        <s v="Cab"/>
        <s v="Refund for bus ticket"/>
        <s v="To abijith and to vicky lend money returned"/>
        <s v="To gobi 1st 1/4th"/>
        <s v="Lended money returned to kumara"/>
        <s v="Jan 2nd with shakur and barath"/>
        <s v="Lended money returned to vishnu"/>
        <s v="Spiderman "/>
        <s v="Vnr to apk"/>
        <s v="Bingo"/>
        <s v="Dinner with roommate"/>
        <s v="Ketch up"/>
        <s v="From barath and shakur"/>
        <s v="To gobi"/>
        <s v="To chennai"/>
        <s v="To kumara"/>
        <s v="Cakepark"/>
        <s v="Dinner with aravind and buddies"/>
        <s v="Coffee + biscuit"/>
        <s v="Auto to Gobi's place"/>
        <s v="Beer"/>
        <s v="Kfc date with myself"/>
        <s v="Rent"/>
        <s v="Lunch with gowdham"/>
        <s v="From gowdham"/>
        <s v="Gave to gowdham"/>
        <s v="Travel to koyambedu"/>
        <s v="Tamen"/>
        <s v="From Deepak"/>
        <s v="Bean bag"/>
        <s v="Kumara"/>
        <s v="Sent to vicky"/>
        <s v="Pepsi"/>
        <s v="Friday snacks with preethi gang"/>
        <s v="Panipoori"/>
        <s v="Milk with bharath"/>
        <s v="From ganesan"/>
        <s v="Rapido + toll"/>
        <s v="Bommasandra to pg"/>
        <s v="Lunch with not preethi"/>
        <s v="Dinner with aravind"/>
        <s v="Lunch pongal"/>
        <s v="Siva + 100 cash"/>
        <s v="Rapido"/>
        <s v="Dinner with gowdham"/>
        <s v="Zomato"/>
        <s v="Snack"/>
        <s v="Breakfast"/>
        <s v="Bharath birthday"/>
        <s v="From kumara"/>
        <s v="Recharge by gowdham"/>
        <s v="Mirror"/>
        <s v="Egg"/>
        <s v="Lended money"/>
        <s v="To rahul"/>
        <s v="To abijith"/>
        <s v="To siva"/>
        <s v="Lunch with barath"/>
        <s v="Water"/>
        <s v="Taxi"/>
        <s v="Bun"/>
        <s v="Puffs"/>
        <s v="Puffs and coffee"/>
        <s v="Lemon tea with company"/>
        <s v="Corn"/>
        <s v="Books"/>
        <s v="Coconut water with stu"/>
        <s v="Coffee and thattai"/>
        <s v="Horlicks + kolakattai"/>
        <s v="Pg to office"/>
        <s v="To barath"/>
      </sharedItems>
    </cacheField>
    <cacheField name="Income/Expense" numFmtId="0">
      <sharedItems count="2">
        <s v="Income"/>
        <s v="Expense"/>
      </sharedItems>
    </cacheField>
    <cacheField name="Debit/Credit" numFmtId="0">
      <sharedItems containsSemiMixedTypes="0" containsString="0" containsNumber="1" minValue="8" maxValue="55530" count="134">
        <n v="8000"/>
        <n v="85"/>
        <n v="500"/>
        <n v="6667"/>
        <n v="30"/>
        <n v="78"/>
        <n v="1460"/>
        <n v="43"/>
        <n v="66"/>
        <n v="340"/>
        <n v="1500"/>
        <n v="70"/>
        <n v="1100"/>
        <n v="148"/>
        <n v="59"/>
        <n v="301.14999999999998"/>
        <n v="171"/>
        <n v="200"/>
        <n v="37"/>
        <n v="188"/>
        <n v="2000"/>
        <n v="176"/>
        <n v="310"/>
        <n v="18"/>
        <n v="25"/>
        <n v="125"/>
        <n v="115"/>
        <n v="55000"/>
        <n v="279"/>
        <n v="138"/>
        <n v="10"/>
        <n v="100"/>
        <n v="105"/>
        <n v="120"/>
        <n v="155"/>
        <n v="725"/>
        <n v="8"/>
        <n v="50"/>
        <n v="475"/>
        <n v="165"/>
        <n v="80"/>
        <n v="348"/>
        <n v="2709"/>
        <n v="60"/>
        <n v="1575"/>
        <n v="250"/>
        <n v="111"/>
        <n v="201.8"/>
        <n v="3336"/>
        <n v="1300"/>
        <n v="83"/>
        <n v="3999"/>
        <n v="289"/>
        <n v="84"/>
        <n v="243"/>
        <n v="339.15"/>
        <n v="300"/>
        <n v="1140"/>
        <n v="201"/>
        <n v="150"/>
        <n v="1365"/>
        <n v="5120"/>
        <n v="3997"/>
        <n v="153"/>
        <n v="107"/>
        <n v="106"/>
        <n v="14000"/>
        <n v="380"/>
        <n v="5180"/>
        <n v="306"/>
        <n v="388"/>
        <n v="600"/>
        <n v="354"/>
        <n v="40"/>
        <n v="1363.72"/>
        <n v="429"/>
        <n v="877.81"/>
        <n v="440"/>
        <n v="4500"/>
        <n v="1000"/>
        <n v="491"/>
        <n v="749"/>
        <n v="4120"/>
        <n v="1599"/>
        <n v="214"/>
        <n v="4620"/>
        <n v="302"/>
        <n v="259"/>
        <n v="4580"/>
        <n v="535.29999999999995"/>
        <n v="260"/>
        <n v="324.7"/>
        <n v="2250"/>
        <n v="2099"/>
        <n v="170"/>
        <n v="465"/>
        <n v="133"/>
        <n v="3325"/>
        <n v="55140"/>
        <n v="641"/>
        <n v="110"/>
        <n v="10000"/>
        <n v="20"/>
        <n v="286"/>
        <n v="199"/>
        <n v="135.5"/>
        <n v="4099"/>
        <n v="373"/>
        <n v="1530"/>
        <n v="55240"/>
        <n v="35"/>
        <n v="130"/>
        <n v="269.39999999999998"/>
        <n v="94"/>
        <n v="44"/>
        <n v="128"/>
        <n v="301.75"/>
        <n v="479"/>
        <n v="7770"/>
        <n v="65"/>
        <n v="75"/>
        <n v="400"/>
        <n v="700"/>
        <n v="160"/>
        <n v="113"/>
        <n v="5000"/>
        <n v="800"/>
        <n v="239"/>
        <n v="32"/>
        <n v="15"/>
        <n v="262"/>
        <n v="504"/>
        <n v="14"/>
        <n v="55530"/>
      </sharedItems>
    </cacheField>
    <cacheField name="income" numFmtId="0">
      <sharedItems containsSemiMixedTypes="0" containsString="0" containsNumber="1" containsInteger="1" minValue="0" maxValue="55530" count="30">
        <n v="8000"/>
        <n v="0"/>
        <n v="500"/>
        <n v="340"/>
        <n v="1500"/>
        <n v="200"/>
        <n v="2000"/>
        <n v="310"/>
        <n v="125"/>
        <n v="55000"/>
        <n v="300"/>
        <n v="1140"/>
        <n v="201"/>
        <n v="440"/>
        <n v="260"/>
        <n v="2250"/>
        <n v="100"/>
        <n v="170"/>
        <n v="55140"/>
        <n v="40"/>
        <n v="20"/>
        <n v="1000"/>
        <n v="55240"/>
        <n v="70"/>
        <n v="10000"/>
        <n v="400"/>
        <n v="5000"/>
        <n v="80"/>
        <n v="250"/>
        <n v="55530"/>
      </sharedItems>
    </cacheField>
    <cacheField name="expenses" numFmtId="0">
      <sharedItems containsSemiMixedTypes="0" containsString="0" containsNumber="1" minValue="0" maxValue="14000" count="120">
        <n v="0"/>
        <n v="85"/>
        <n v="6667"/>
        <n v="30"/>
        <n v="78"/>
        <n v="1460"/>
        <n v="43"/>
        <n v="66"/>
        <n v="70"/>
        <n v="1100"/>
        <n v="148"/>
        <n v="59"/>
        <n v="301.14999999999998"/>
        <n v="171"/>
        <n v="37"/>
        <n v="188"/>
        <n v="176"/>
        <n v="200"/>
        <n v="18"/>
        <n v="25"/>
        <n v="115"/>
        <n v="279"/>
        <n v="138"/>
        <n v="10"/>
        <n v="100"/>
        <n v="105"/>
        <n v="120"/>
        <n v="155"/>
        <n v="725"/>
        <n v="8"/>
        <n v="50"/>
        <n v="475"/>
        <n v="165"/>
        <n v="80"/>
        <n v="348"/>
        <n v="2709"/>
        <n v="60"/>
        <n v="1575"/>
        <n v="250"/>
        <n v="111"/>
        <n v="201.8"/>
        <n v="3336"/>
        <n v="1300"/>
        <n v="83"/>
        <n v="3999"/>
        <n v="289"/>
        <n v="84"/>
        <n v="243"/>
        <n v="339.15"/>
        <n v="300"/>
        <n v="150"/>
        <n v="1365"/>
        <n v="5120"/>
        <n v="3997"/>
        <n v="153"/>
        <n v="107"/>
        <n v="106"/>
        <n v="14000"/>
        <n v="380"/>
        <n v="5180"/>
        <n v="306"/>
        <n v="388"/>
        <n v="600"/>
        <n v="500"/>
        <n v="354"/>
        <n v="40"/>
        <n v="1363.72"/>
        <n v="429"/>
        <n v="877.81"/>
        <n v="4500"/>
        <n v="1000"/>
        <n v="125"/>
        <n v="491"/>
        <n v="749"/>
        <n v="4120"/>
        <n v="1599"/>
        <n v="214"/>
        <n v="4620"/>
        <n v="302"/>
        <n v="1500"/>
        <n v="259"/>
        <n v="4580"/>
        <n v="535.29999999999995"/>
        <n v="324.7"/>
        <n v="2099"/>
        <n v="465"/>
        <n v="133"/>
        <n v="3325"/>
        <n v="641"/>
        <n v="110"/>
        <n v="10000"/>
        <n v="286"/>
        <n v="199"/>
        <n v="135.5"/>
        <n v="4099"/>
        <n v="373"/>
        <n v="1530"/>
        <n v="35"/>
        <n v="130"/>
        <n v="269.39999999999998"/>
        <n v="94"/>
        <n v="44"/>
        <n v="128"/>
        <n v="301.75"/>
        <n v="479"/>
        <n v="7770"/>
        <n v="65"/>
        <n v="75"/>
        <n v="400"/>
        <n v="20"/>
        <n v="700"/>
        <n v="160"/>
        <n v="113"/>
        <n v="800"/>
        <n v="239"/>
        <n v="32"/>
        <n v="15"/>
        <n v="262"/>
        <n v="504"/>
        <n v="14"/>
      </sharedItems>
    </cacheField>
    <cacheField name="Days (Date / Time)" numFmtId="0" databaseField="0">
      <fieldGroup base="0">
        <rangePr groupBy="days" startDate="2021-01-01T21:45:00" endDate="2021-12-30T14:1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1"/>
        </groupItems>
      </fieldGroup>
    </cacheField>
    <cacheField name="Months (Date / Time)" numFmtId="0" databaseField="0">
      <fieldGroup base="0">
        <rangePr groupBy="months" startDate="2021-01-01T21:45:00" endDate="2021-12-30T14:10:00"/>
        <groupItems count="14">
          <s v="&lt;01-01-2021"/>
          <s v="Jan"/>
          <s v="Feb"/>
          <s v="Mar"/>
          <s v="Apr"/>
          <s v="May"/>
          <s v="Jun"/>
          <s v="Jul"/>
          <s v="Aug"/>
          <s v="Sep"/>
          <s v="Oct"/>
          <s v="Nov"/>
          <s v="Dec"/>
          <s v="&gt;30-12-2021"/>
        </groupItems>
      </fieldGroup>
    </cacheField>
  </cacheFields>
  <extLst>
    <ext xmlns:x14="http://schemas.microsoft.com/office/spreadsheetml/2009/9/main" uri="{725AE2AE-9491-48be-B2B4-4EB974FC3084}">
      <x14:pivotCacheDefinition pivotCacheId="1642037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x v="0"/>
    <x v="0"/>
    <x v="0"/>
    <x v="0"/>
    <x v="0"/>
    <x v="0"/>
    <x v="0"/>
  </r>
  <r>
    <x v="1"/>
    <x v="0"/>
    <x v="1"/>
    <x v="1"/>
    <x v="1"/>
    <x v="1"/>
    <x v="1"/>
    <x v="1"/>
  </r>
  <r>
    <x v="2"/>
    <x v="0"/>
    <x v="2"/>
    <x v="0"/>
    <x v="0"/>
    <x v="2"/>
    <x v="2"/>
    <x v="0"/>
  </r>
  <r>
    <x v="3"/>
    <x v="0"/>
    <x v="3"/>
    <x v="2"/>
    <x v="1"/>
    <x v="3"/>
    <x v="1"/>
    <x v="2"/>
  </r>
  <r>
    <x v="4"/>
    <x v="0"/>
    <x v="4"/>
    <x v="3"/>
    <x v="1"/>
    <x v="4"/>
    <x v="1"/>
    <x v="3"/>
  </r>
  <r>
    <x v="5"/>
    <x v="0"/>
    <x v="1"/>
    <x v="4"/>
    <x v="1"/>
    <x v="5"/>
    <x v="1"/>
    <x v="4"/>
  </r>
  <r>
    <x v="6"/>
    <x v="0"/>
    <x v="1"/>
    <x v="5"/>
    <x v="1"/>
    <x v="6"/>
    <x v="1"/>
    <x v="5"/>
  </r>
  <r>
    <x v="7"/>
    <x v="0"/>
    <x v="4"/>
    <x v="6"/>
    <x v="1"/>
    <x v="7"/>
    <x v="1"/>
    <x v="6"/>
  </r>
  <r>
    <x v="8"/>
    <x v="0"/>
    <x v="1"/>
    <x v="4"/>
    <x v="1"/>
    <x v="8"/>
    <x v="1"/>
    <x v="7"/>
  </r>
  <r>
    <x v="9"/>
    <x v="0"/>
    <x v="2"/>
    <x v="7"/>
    <x v="0"/>
    <x v="9"/>
    <x v="3"/>
    <x v="0"/>
  </r>
  <r>
    <x v="10"/>
    <x v="0"/>
    <x v="2"/>
    <x v="0"/>
    <x v="0"/>
    <x v="10"/>
    <x v="4"/>
    <x v="0"/>
  </r>
  <r>
    <x v="10"/>
    <x v="0"/>
    <x v="1"/>
    <x v="1"/>
    <x v="1"/>
    <x v="11"/>
    <x v="1"/>
    <x v="8"/>
  </r>
  <r>
    <x v="11"/>
    <x v="0"/>
    <x v="1"/>
    <x v="8"/>
    <x v="1"/>
    <x v="12"/>
    <x v="1"/>
    <x v="9"/>
  </r>
  <r>
    <x v="12"/>
    <x v="0"/>
    <x v="1"/>
    <x v="5"/>
    <x v="1"/>
    <x v="13"/>
    <x v="1"/>
    <x v="10"/>
  </r>
  <r>
    <x v="13"/>
    <x v="0"/>
    <x v="1"/>
    <x v="9"/>
    <x v="1"/>
    <x v="14"/>
    <x v="1"/>
    <x v="11"/>
  </r>
  <r>
    <x v="14"/>
    <x v="0"/>
    <x v="1"/>
    <x v="4"/>
    <x v="1"/>
    <x v="15"/>
    <x v="1"/>
    <x v="12"/>
  </r>
  <r>
    <x v="15"/>
    <x v="0"/>
    <x v="1"/>
    <x v="10"/>
    <x v="1"/>
    <x v="16"/>
    <x v="1"/>
    <x v="13"/>
  </r>
  <r>
    <x v="16"/>
    <x v="0"/>
    <x v="2"/>
    <x v="11"/>
    <x v="0"/>
    <x v="17"/>
    <x v="5"/>
    <x v="0"/>
  </r>
  <r>
    <x v="16"/>
    <x v="0"/>
    <x v="1"/>
    <x v="1"/>
    <x v="1"/>
    <x v="18"/>
    <x v="1"/>
    <x v="14"/>
  </r>
  <r>
    <x v="17"/>
    <x v="0"/>
    <x v="1"/>
    <x v="5"/>
    <x v="1"/>
    <x v="19"/>
    <x v="1"/>
    <x v="15"/>
  </r>
  <r>
    <x v="18"/>
    <x v="0"/>
    <x v="2"/>
    <x v="0"/>
    <x v="0"/>
    <x v="20"/>
    <x v="6"/>
    <x v="0"/>
  </r>
  <r>
    <x v="18"/>
    <x v="0"/>
    <x v="1"/>
    <x v="12"/>
    <x v="1"/>
    <x v="21"/>
    <x v="1"/>
    <x v="16"/>
  </r>
  <r>
    <x v="18"/>
    <x v="0"/>
    <x v="5"/>
    <x v="13"/>
    <x v="1"/>
    <x v="17"/>
    <x v="1"/>
    <x v="17"/>
  </r>
  <r>
    <x v="19"/>
    <x v="0"/>
    <x v="2"/>
    <x v="11"/>
    <x v="0"/>
    <x v="22"/>
    <x v="7"/>
    <x v="0"/>
  </r>
  <r>
    <x v="20"/>
    <x v="0"/>
    <x v="1"/>
    <x v="14"/>
    <x v="1"/>
    <x v="23"/>
    <x v="1"/>
    <x v="18"/>
  </r>
  <r>
    <x v="21"/>
    <x v="0"/>
    <x v="1"/>
    <x v="15"/>
    <x v="1"/>
    <x v="24"/>
    <x v="1"/>
    <x v="19"/>
  </r>
  <r>
    <x v="22"/>
    <x v="0"/>
    <x v="2"/>
    <x v="16"/>
    <x v="0"/>
    <x v="25"/>
    <x v="8"/>
    <x v="0"/>
  </r>
  <r>
    <x v="22"/>
    <x v="0"/>
    <x v="1"/>
    <x v="1"/>
    <x v="1"/>
    <x v="26"/>
    <x v="1"/>
    <x v="20"/>
  </r>
  <r>
    <x v="23"/>
    <x v="0"/>
    <x v="6"/>
    <x v="17"/>
    <x v="0"/>
    <x v="27"/>
    <x v="9"/>
    <x v="0"/>
  </r>
  <r>
    <x v="24"/>
    <x v="0"/>
    <x v="1"/>
    <x v="18"/>
    <x v="1"/>
    <x v="28"/>
    <x v="1"/>
    <x v="21"/>
  </r>
  <r>
    <x v="25"/>
    <x v="0"/>
    <x v="2"/>
    <x v="19"/>
    <x v="1"/>
    <x v="12"/>
    <x v="1"/>
    <x v="9"/>
  </r>
  <r>
    <x v="26"/>
    <x v="0"/>
    <x v="1"/>
    <x v="5"/>
    <x v="1"/>
    <x v="29"/>
    <x v="1"/>
    <x v="22"/>
  </r>
  <r>
    <x v="27"/>
    <x v="0"/>
    <x v="1"/>
    <x v="20"/>
    <x v="1"/>
    <x v="30"/>
    <x v="1"/>
    <x v="23"/>
  </r>
  <r>
    <x v="28"/>
    <x v="0"/>
    <x v="2"/>
    <x v="21"/>
    <x v="1"/>
    <x v="31"/>
    <x v="1"/>
    <x v="24"/>
  </r>
  <r>
    <x v="29"/>
    <x v="0"/>
    <x v="1"/>
    <x v="22"/>
    <x v="1"/>
    <x v="32"/>
    <x v="1"/>
    <x v="25"/>
  </r>
  <r>
    <x v="30"/>
    <x v="0"/>
    <x v="1"/>
    <x v="23"/>
    <x v="1"/>
    <x v="33"/>
    <x v="1"/>
    <x v="26"/>
  </r>
  <r>
    <x v="31"/>
    <x v="0"/>
    <x v="1"/>
    <x v="4"/>
    <x v="1"/>
    <x v="34"/>
    <x v="1"/>
    <x v="27"/>
  </r>
  <r>
    <x v="32"/>
    <x v="0"/>
    <x v="2"/>
    <x v="24"/>
    <x v="1"/>
    <x v="17"/>
    <x v="1"/>
    <x v="17"/>
  </r>
  <r>
    <x v="33"/>
    <x v="0"/>
    <x v="4"/>
    <x v="25"/>
    <x v="1"/>
    <x v="35"/>
    <x v="1"/>
    <x v="28"/>
  </r>
  <r>
    <x v="34"/>
    <x v="0"/>
    <x v="1"/>
    <x v="26"/>
    <x v="1"/>
    <x v="17"/>
    <x v="1"/>
    <x v="17"/>
  </r>
  <r>
    <x v="35"/>
    <x v="0"/>
    <x v="2"/>
    <x v="27"/>
    <x v="1"/>
    <x v="36"/>
    <x v="1"/>
    <x v="29"/>
  </r>
  <r>
    <x v="36"/>
    <x v="0"/>
    <x v="1"/>
    <x v="28"/>
    <x v="1"/>
    <x v="33"/>
    <x v="1"/>
    <x v="26"/>
  </r>
  <r>
    <x v="37"/>
    <x v="0"/>
    <x v="1"/>
    <x v="29"/>
    <x v="1"/>
    <x v="37"/>
    <x v="1"/>
    <x v="30"/>
  </r>
  <r>
    <x v="38"/>
    <x v="0"/>
    <x v="5"/>
    <x v="30"/>
    <x v="1"/>
    <x v="31"/>
    <x v="1"/>
    <x v="24"/>
  </r>
  <r>
    <x v="39"/>
    <x v="0"/>
    <x v="1"/>
    <x v="31"/>
    <x v="1"/>
    <x v="38"/>
    <x v="1"/>
    <x v="31"/>
  </r>
  <r>
    <x v="39"/>
    <x v="0"/>
    <x v="1"/>
    <x v="32"/>
    <x v="1"/>
    <x v="39"/>
    <x v="1"/>
    <x v="32"/>
  </r>
  <r>
    <x v="40"/>
    <x v="0"/>
    <x v="1"/>
    <x v="33"/>
    <x v="1"/>
    <x v="40"/>
    <x v="1"/>
    <x v="33"/>
  </r>
  <r>
    <x v="41"/>
    <x v="0"/>
    <x v="1"/>
    <x v="34"/>
    <x v="1"/>
    <x v="41"/>
    <x v="1"/>
    <x v="34"/>
  </r>
  <r>
    <x v="42"/>
    <x v="0"/>
    <x v="4"/>
    <x v="35"/>
    <x v="1"/>
    <x v="42"/>
    <x v="1"/>
    <x v="35"/>
  </r>
  <r>
    <x v="43"/>
    <x v="0"/>
    <x v="2"/>
    <x v="36"/>
    <x v="1"/>
    <x v="37"/>
    <x v="1"/>
    <x v="30"/>
  </r>
  <r>
    <x v="44"/>
    <x v="0"/>
    <x v="4"/>
    <x v="3"/>
    <x v="1"/>
    <x v="43"/>
    <x v="1"/>
    <x v="36"/>
  </r>
  <r>
    <x v="45"/>
    <x v="0"/>
    <x v="4"/>
    <x v="37"/>
    <x v="1"/>
    <x v="44"/>
    <x v="1"/>
    <x v="37"/>
  </r>
  <r>
    <x v="46"/>
    <x v="0"/>
    <x v="1"/>
    <x v="1"/>
    <x v="1"/>
    <x v="45"/>
    <x v="1"/>
    <x v="38"/>
  </r>
  <r>
    <x v="47"/>
    <x v="0"/>
    <x v="1"/>
    <x v="38"/>
    <x v="1"/>
    <x v="46"/>
    <x v="1"/>
    <x v="39"/>
  </r>
  <r>
    <x v="48"/>
    <x v="0"/>
    <x v="1"/>
    <x v="33"/>
    <x v="1"/>
    <x v="17"/>
    <x v="1"/>
    <x v="17"/>
  </r>
  <r>
    <x v="49"/>
    <x v="0"/>
    <x v="4"/>
    <x v="39"/>
    <x v="1"/>
    <x v="47"/>
    <x v="1"/>
    <x v="40"/>
  </r>
  <r>
    <x v="50"/>
    <x v="0"/>
    <x v="3"/>
    <x v="2"/>
    <x v="1"/>
    <x v="48"/>
    <x v="1"/>
    <x v="41"/>
  </r>
  <r>
    <x v="51"/>
    <x v="0"/>
    <x v="4"/>
    <x v="40"/>
    <x v="1"/>
    <x v="49"/>
    <x v="1"/>
    <x v="42"/>
  </r>
  <r>
    <x v="52"/>
    <x v="0"/>
    <x v="1"/>
    <x v="41"/>
    <x v="1"/>
    <x v="50"/>
    <x v="1"/>
    <x v="43"/>
  </r>
  <r>
    <x v="53"/>
    <x v="0"/>
    <x v="5"/>
    <x v="42"/>
    <x v="1"/>
    <x v="51"/>
    <x v="1"/>
    <x v="44"/>
  </r>
  <r>
    <x v="54"/>
    <x v="0"/>
    <x v="1"/>
    <x v="43"/>
    <x v="1"/>
    <x v="52"/>
    <x v="1"/>
    <x v="45"/>
  </r>
  <r>
    <x v="55"/>
    <x v="0"/>
    <x v="1"/>
    <x v="44"/>
    <x v="1"/>
    <x v="53"/>
    <x v="1"/>
    <x v="46"/>
  </r>
  <r>
    <x v="56"/>
    <x v="0"/>
    <x v="2"/>
    <x v="45"/>
    <x v="1"/>
    <x v="31"/>
    <x v="1"/>
    <x v="24"/>
  </r>
  <r>
    <x v="57"/>
    <x v="0"/>
    <x v="1"/>
    <x v="33"/>
    <x v="1"/>
    <x v="54"/>
    <x v="1"/>
    <x v="47"/>
  </r>
  <r>
    <x v="58"/>
    <x v="0"/>
    <x v="6"/>
    <x v="17"/>
    <x v="0"/>
    <x v="27"/>
    <x v="9"/>
    <x v="0"/>
  </r>
  <r>
    <x v="59"/>
    <x v="0"/>
    <x v="1"/>
    <x v="46"/>
    <x v="1"/>
    <x v="55"/>
    <x v="1"/>
    <x v="48"/>
  </r>
  <r>
    <x v="60"/>
    <x v="0"/>
    <x v="2"/>
    <x v="47"/>
    <x v="0"/>
    <x v="56"/>
    <x v="10"/>
    <x v="0"/>
  </r>
  <r>
    <x v="61"/>
    <x v="0"/>
    <x v="1"/>
    <x v="48"/>
    <x v="1"/>
    <x v="56"/>
    <x v="1"/>
    <x v="49"/>
  </r>
  <r>
    <x v="62"/>
    <x v="0"/>
    <x v="2"/>
    <x v="49"/>
    <x v="0"/>
    <x v="57"/>
    <x v="11"/>
    <x v="0"/>
  </r>
  <r>
    <x v="63"/>
    <x v="0"/>
    <x v="2"/>
    <x v="50"/>
    <x v="0"/>
    <x v="58"/>
    <x v="12"/>
    <x v="0"/>
  </r>
  <r>
    <x v="64"/>
    <x v="0"/>
    <x v="1"/>
    <x v="51"/>
    <x v="1"/>
    <x v="30"/>
    <x v="1"/>
    <x v="23"/>
  </r>
  <r>
    <x v="65"/>
    <x v="0"/>
    <x v="2"/>
    <x v="52"/>
    <x v="1"/>
    <x v="59"/>
    <x v="1"/>
    <x v="50"/>
  </r>
  <r>
    <x v="66"/>
    <x v="0"/>
    <x v="1"/>
    <x v="53"/>
    <x v="1"/>
    <x v="37"/>
    <x v="1"/>
    <x v="30"/>
  </r>
  <r>
    <x v="67"/>
    <x v="0"/>
    <x v="4"/>
    <x v="54"/>
    <x v="1"/>
    <x v="60"/>
    <x v="1"/>
    <x v="51"/>
  </r>
  <r>
    <x v="68"/>
    <x v="0"/>
    <x v="6"/>
    <x v="17"/>
    <x v="0"/>
    <x v="27"/>
    <x v="9"/>
    <x v="0"/>
  </r>
  <r>
    <x v="69"/>
    <x v="0"/>
    <x v="3"/>
    <x v="2"/>
    <x v="1"/>
    <x v="61"/>
    <x v="1"/>
    <x v="52"/>
  </r>
  <r>
    <x v="70"/>
    <x v="0"/>
    <x v="5"/>
    <x v="55"/>
    <x v="1"/>
    <x v="62"/>
    <x v="1"/>
    <x v="53"/>
  </r>
  <r>
    <x v="71"/>
    <x v="0"/>
    <x v="4"/>
    <x v="56"/>
    <x v="1"/>
    <x v="63"/>
    <x v="1"/>
    <x v="54"/>
  </r>
  <r>
    <x v="72"/>
    <x v="0"/>
    <x v="1"/>
    <x v="57"/>
    <x v="1"/>
    <x v="64"/>
    <x v="1"/>
    <x v="55"/>
  </r>
  <r>
    <x v="73"/>
    <x v="0"/>
    <x v="2"/>
    <x v="24"/>
    <x v="1"/>
    <x v="40"/>
    <x v="1"/>
    <x v="33"/>
  </r>
  <r>
    <x v="74"/>
    <x v="0"/>
    <x v="1"/>
    <x v="5"/>
    <x v="1"/>
    <x v="65"/>
    <x v="1"/>
    <x v="56"/>
  </r>
  <r>
    <x v="75"/>
    <x v="0"/>
    <x v="7"/>
    <x v="58"/>
    <x v="1"/>
    <x v="66"/>
    <x v="1"/>
    <x v="57"/>
  </r>
  <r>
    <x v="76"/>
    <x v="0"/>
    <x v="2"/>
    <x v="59"/>
    <x v="1"/>
    <x v="56"/>
    <x v="1"/>
    <x v="49"/>
  </r>
  <r>
    <x v="77"/>
    <x v="0"/>
    <x v="4"/>
    <x v="60"/>
    <x v="1"/>
    <x v="17"/>
    <x v="1"/>
    <x v="17"/>
  </r>
  <r>
    <x v="77"/>
    <x v="0"/>
    <x v="1"/>
    <x v="61"/>
    <x v="1"/>
    <x v="67"/>
    <x v="1"/>
    <x v="58"/>
  </r>
  <r>
    <x v="78"/>
    <x v="0"/>
    <x v="6"/>
    <x v="17"/>
    <x v="0"/>
    <x v="27"/>
    <x v="9"/>
    <x v="0"/>
  </r>
  <r>
    <x v="79"/>
    <x v="0"/>
    <x v="3"/>
    <x v="2"/>
    <x v="1"/>
    <x v="68"/>
    <x v="1"/>
    <x v="59"/>
  </r>
  <r>
    <x v="80"/>
    <x v="0"/>
    <x v="1"/>
    <x v="62"/>
    <x v="1"/>
    <x v="40"/>
    <x v="1"/>
    <x v="33"/>
  </r>
  <r>
    <x v="81"/>
    <x v="0"/>
    <x v="4"/>
    <x v="63"/>
    <x v="1"/>
    <x v="69"/>
    <x v="1"/>
    <x v="60"/>
  </r>
  <r>
    <x v="82"/>
    <x v="0"/>
    <x v="1"/>
    <x v="5"/>
    <x v="1"/>
    <x v="70"/>
    <x v="1"/>
    <x v="61"/>
  </r>
  <r>
    <x v="83"/>
    <x v="0"/>
    <x v="4"/>
    <x v="64"/>
    <x v="1"/>
    <x v="71"/>
    <x v="1"/>
    <x v="62"/>
  </r>
  <r>
    <x v="84"/>
    <x v="0"/>
    <x v="2"/>
    <x v="65"/>
    <x v="1"/>
    <x v="2"/>
    <x v="1"/>
    <x v="63"/>
  </r>
  <r>
    <x v="85"/>
    <x v="0"/>
    <x v="2"/>
    <x v="66"/>
    <x v="1"/>
    <x v="2"/>
    <x v="1"/>
    <x v="63"/>
  </r>
  <r>
    <x v="86"/>
    <x v="0"/>
    <x v="2"/>
    <x v="67"/>
    <x v="1"/>
    <x v="4"/>
    <x v="1"/>
    <x v="3"/>
  </r>
  <r>
    <x v="86"/>
    <x v="0"/>
    <x v="1"/>
    <x v="68"/>
    <x v="1"/>
    <x v="72"/>
    <x v="1"/>
    <x v="64"/>
  </r>
  <r>
    <x v="87"/>
    <x v="0"/>
    <x v="2"/>
    <x v="69"/>
    <x v="1"/>
    <x v="73"/>
    <x v="1"/>
    <x v="65"/>
  </r>
  <r>
    <x v="88"/>
    <x v="0"/>
    <x v="5"/>
    <x v="70"/>
    <x v="1"/>
    <x v="74"/>
    <x v="1"/>
    <x v="66"/>
  </r>
  <r>
    <x v="89"/>
    <x v="0"/>
    <x v="6"/>
    <x v="17"/>
    <x v="0"/>
    <x v="27"/>
    <x v="9"/>
    <x v="0"/>
  </r>
  <r>
    <x v="90"/>
    <x v="0"/>
    <x v="3"/>
    <x v="2"/>
    <x v="1"/>
    <x v="61"/>
    <x v="1"/>
    <x v="52"/>
  </r>
  <r>
    <x v="91"/>
    <x v="0"/>
    <x v="4"/>
    <x v="71"/>
    <x v="1"/>
    <x v="37"/>
    <x v="1"/>
    <x v="30"/>
  </r>
  <r>
    <x v="92"/>
    <x v="0"/>
    <x v="4"/>
    <x v="6"/>
    <x v="1"/>
    <x v="75"/>
    <x v="1"/>
    <x v="67"/>
  </r>
  <r>
    <x v="93"/>
    <x v="0"/>
    <x v="1"/>
    <x v="72"/>
    <x v="1"/>
    <x v="30"/>
    <x v="1"/>
    <x v="23"/>
  </r>
  <r>
    <x v="94"/>
    <x v="0"/>
    <x v="1"/>
    <x v="73"/>
    <x v="1"/>
    <x v="76"/>
    <x v="1"/>
    <x v="68"/>
  </r>
  <r>
    <x v="95"/>
    <x v="0"/>
    <x v="1"/>
    <x v="74"/>
    <x v="1"/>
    <x v="17"/>
    <x v="1"/>
    <x v="17"/>
  </r>
  <r>
    <x v="96"/>
    <x v="0"/>
    <x v="2"/>
    <x v="75"/>
    <x v="0"/>
    <x v="77"/>
    <x v="13"/>
    <x v="0"/>
  </r>
  <r>
    <x v="97"/>
    <x v="0"/>
    <x v="2"/>
    <x v="76"/>
    <x v="1"/>
    <x v="78"/>
    <x v="1"/>
    <x v="69"/>
  </r>
  <r>
    <x v="98"/>
    <x v="0"/>
    <x v="4"/>
    <x v="77"/>
    <x v="1"/>
    <x v="79"/>
    <x v="1"/>
    <x v="70"/>
  </r>
  <r>
    <x v="99"/>
    <x v="0"/>
    <x v="1"/>
    <x v="78"/>
    <x v="1"/>
    <x v="59"/>
    <x v="1"/>
    <x v="50"/>
  </r>
  <r>
    <x v="100"/>
    <x v="0"/>
    <x v="1"/>
    <x v="79"/>
    <x v="1"/>
    <x v="25"/>
    <x v="1"/>
    <x v="71"/>
  </r>
  <r>
    <x v="101"/>
    <x v="0"/>
    <x v="1"/>
    <x v="80"/>
    <x v="1"/>
    <x v="80"/>
    <x v="1"/>
    <x v="72"/>
  </r>
  <r>
    <x v="102"/>
    <x v="0"/>
    <x v="1"/>
    <x v="1"/>
    <x v="1"/>
    <x v="81"/>
    <x v="1"/>
    <x v="73"/>
  </r>
  <r>
    <x v="103"/>
    <x v="0"/>
    <x v="3"/>
    <x v="2"/>
    <x v="1"/>
    <x v="82"/>
    <x v="1"/>
    <x v="74"/>
  </r>
  <r>
    <x v="104"/>
    <x v="0"/>
    <x v="6"/>
    <x v="17"/>
    <x v="0"/>
    <x v="27"/>
    <x v="9"/>
    <x v="0"/>
  </r>
  <r>
    <x v="105"/>
    <x v="0"/>
    <x v="1"/>
    <x v="81"/>
    <x v="1"/>
    <x v="83"/>
    <x v="1"/>
    <x v="75"/>
  </r>
  <r>
    <x v="106"/>
    <x v="0"/>
    <x v="4"/>
    <x v="82"/>
    <x v="1"/>
    <x v="84"/>
    <x v="1"/>
    <x v="76"/>
  </r>
  <r>
    <x v="107"/>
    <x v="0"/>
    <x v="2"/>
    <x v="78"/>
    <x v="1"/>
    <x v="17"/>
    <x v="1"/>
    <x v="17"/>
  </r>
  <r>
    <x v="108"/>
    <x v="0"/>
    <x v="3"/>
    <x v="2"/>
    <x v="1"/>
    <x v="85"/>
    <x v="1"/>
    <x v="77"/>
  </r>
  <r>
    <x v="109"/>
    <x v="0"/>
    <x v="1"/>
    <x v="33"/>
    <x v="1"/>
    <x v="86"/>
    <x v="1"/>
    <x v="78"/>
  </r>
  <r>
    <x v="110"/>
    <x v="0"/>
    <x v="5"/>
    <x v="83"/>
    <x v="1"/>
    <x v="10"/>
    <x v="1"/>
    <x v="79"/>
  </r>
  <r>
    <x v="111"/>
    <x v="0"/>
    <x v="1"/>
    <x v="84"/>
    <x v="1"/>
    <x v="87"/>
    <x v="1"/>
    <x v="80"/>
  </r>
  <r>
    <x v="112"/>
    <x v="0"/>
    <x v="6"/>
    <x v="17"/>
    <x v="0"/>
    <x v="27"/>
    <x v="9"/>
    <x v="0"/>
  </r>
  <r>
    <x v="113"/>
    <x v="0"/>
    <x v="2"/>
    <x v="11"/>
    <x v="0"/>
    <x v="56"/>
    <x v="10"/>
    <x v="0"/>
  </r>
  <r>
    <x v="114"/>
    <x v="0"/>
    <x v="3"/>
    <x v="85"/>
    <x v="1"/>
    <x v="88"/>
    <x v="1"/>
    <x v="81"/>
  </r>
  <r>
    <x v="115"/>
    <x v="0"/>
    <x v="1"/>
    <x v="86"/>
    <x v="1"/>
    <x v="89"/>
    <x v="1"/>
    <x v="82"/>
  </r>
  <r>
    <x v="116"/>
    <x v="0"/>
    <x v="2"/>
    <x v="87"/>
    <x v="0"/>
    <x v="90"/>
    <x v="14"/>
    <x v="0"/>
  </r>
  <r>
    <x v="117"/>
    <x v="0"/>
    <x v="6"/>
    <x v="17"/>
    <x v="0"/>
    <x v="27"/>
    <x v="9"/>
    <x v="0"/>
  </r>
  <r>
    <x v="118"/>
    <x v="0"/>
    <x v="2"/>
    <x v="0"/>
    <x v="0"/>
    <x v="2"/>
    <x v="2"/>
    <x v="0"/>
  </r>
  <r>
    <x v="119"/>
    <x v="0"/>
    <x v="2"/>
    <x v="88"/>
    <x v="1"/>
    <x v="37"/>
    <x v="1"/>
    <x v="30"/>
  </r>
  <r>
    <x v="120"/>
    <x v="0"/>
    <x v="4"/>
    <x v="89"/>
    <x v="1"/>
    <x v="29"/>
    <x v="1"/>
    <x v="22"/>
  </r>
  <r>
    <x v="121"/>
    <x v="0"/>
    <x v="1"/>
    <x v="90"/>
    <x v="1"/>
    <x v="91"/>
    <x v="1"/>
    <x v="83"/>
  </r>
  <r>
    <x v="122"/>
    <x v="0"/>
    <x v="1"/>
    <x v="1"/>
    <x v="1"/>
    <x v="73"/>
    <x v="1"/>
    <x v="65"/>
  </r>
  <r>
    <x v="123"/>
    <x v="0"/>
    <x v="4"/>
    <x v="6"/>
    <x v="1"/>
    <x v="7"/>
    <x v="1"/>
    <x v="6"/>
  </r>
  <r>
    <x v="124"/>
    <x v="0"/>
    <x v="2"/>
    <x v="91"/>
    <x v="0"/>
    <x v="92"/>
    <x v="15"/>
    <x v="0"/>
  </r>
  <r>
    <x v="125"/>
    <x v="0"/>
    <x v="3"/>
    <x v="92"/>
    <x v="1"/>
    <x v="93"/>
    <x v="1"/>
    <x v="84"/>
  </r>
  <r>
    <x v="126"/>
    <x v="0"/>
    <x v="2"/>
    <x v="11"/>
    <x v="0"/>
    <x v="31"/>
    <x v="16"/>
    <x v="0"/>
  </r>
  <r>
    <x v="127"/>
    <x v="0"/>
    <x v="2"/>
    <x v="93"/>
    <x v="0"/>
    <x v="94"/>
    <x v="17"/>
    <x v="0"/>
  </r>
  <r>
    <x v="128"/>
    <x v="0"/>
    <x v="1"/>
    <x v="94"/>
    <x v="1"/>
    <x v="56"/>
    <x v="1"/>
    <x v="49"/>
  </r>
  <r>
    <x v="129"/>
    <x v="0"/>
    <x v="1"/>
    <x v="4"/>
    <x v="1"/>
    <x v="95"/>
    <x v="1"/>
    <x v="85"/>
  </r>
  <r>
    <x v="130"/>
    <x v="0"/>
    <x v="1"/>
    <x v="95"/>
    <x v="1"/>
    <x v="73"/>
    <x v="1"/>
    <x v="65"/>
  </r>
  <r>
    <x v="131"/>
    <x v="0"/>
    <x v="1"/>
    <x v="5"/>
    <x v="1"/>
    <x v="96"/>
    <x v="1"/>
    <x v="86"/>
  </r>
  <r>
    <x v="132"/>
    <x v="0"/>
    <x v="6"/>
    <x v="17"/>
    <x v="0"/>
    <x v="27"/>
    <x v="9"/>
    <x v="0"/>
  </r>
  <r>
    <x v="133"/>
    <x v="0"/>
    <x v="4"/>
    <x v="25"/>
    <x v="1"/>
    <x v="97"/>
    <x v="1"/>
    <x v="87"/>
  </r>
  <r>
    <x v="134"/>
    <x v="0"/>
    <x v="2"/>
    <x v="24"/>
    <x v="1"/>
    <x v="56"/>
    <x v="1"/>
    <x v="49"/>
  </r>
  <r>
    <x v="135"/>
    <x v="0"/>
    <x v="1"/>
    <x v="96"/>
    <x v="1"/>
    <x v="65"/>
    <x v="1"/>
    <x v="56"/>
  </r>
  <r>
    <x v="136"/>
    <x v="0"/>
    <x v="6"/>
    <x v="17"/>
    <x v="0"/>
    <x v="98"/>
    <x v="18"/>
    <x v="0"/>
  </r>
  <r>
    <x v="137"/>
    <x v="0"/>
    <x v="2"/>
    <x v="50"/>
    <x v="0"/>
    <x v="58"/>
    <x v="12"/>
    <x v="0"/>
  </r>
  <r>
    <x v="138"/>
    <x v="0"/>
    <x v="3"/>
    <x v="92"/>
    <x v="1"/>
    <x v="93"/>
    <x v="1"/>
    <x v="84"/>
  </r>
  <r>
    <x v="139"/>
    <x v="0"/>
    <x v="1"/>
    <x v="34"/>
    <x v="1"/>
    <x v="99"/>
    <x v="1"/>
    <x v="88"/>
  </r>
  <r>
    <x v="140"/>
    <x v="0"/>
    <x v="1"/>
    <x v="97"/>
    <x v="1"/>
    <x v="40"/>
    <x v="1"/>
    <x v="33"/>
  </r>
  <r>
    <x v="141"/>
    <x v="0"/>
    <x v="1"/>
    <x v="98"/>
    <x v="1"/>
    <x v="100"/>
    <x v="1"/>
    <x v="89"/>
  </r>
  <r>
    <x v="142"/>
    <x v="0"/>
    <x v="2"/>
    <x v="78"/>
    <x v="1"/>
    <x v="101"/>
    <x v="1"/>
    <x v="90"/>
  </r>
  <r>
    <x v="143"/>
    <x v="0"/>
    <x v="2"/>
    <x v="99"/>
    <x v="0"/>
    <x v="73"/>
    <x v="19"/>
    <x v="0"/>
  </r>
  <r>
    <x v="144"/>
    <x v="0"/>
    <x v="2"/>
    <x v="47"/>
    <x v="0"/>
    <x v="102"/>
    <x v="20"/>
    <x v="0"/>
  </r>
  <r>
    <x v="144"/>
    <x v="0"/>
    <x v="4"/>
    <x v="100"/>
    <x v="1"/>
    <x v="103"/>
    <x v="1"/>
    <x v="91"/>
  </r>
  <r>
    <x v="145"/>
    <x v="0"/>
    <x v="4"/>
    <x v="101"/>
    <x v="1"/>
    <x v="104"/>
    <x v="1"/>
    <x v="92"/>
  </r>
  <r>
    <x v="146"/>
    <x v="0"/>
    <x v="1"/>
    <x v="102"/>
    <x v="1"/>
    <x v="105"/>
    <x v="1"/>
    <x v="93"/>
  </r>
  <r>
    <x v="147"/>
    <x v="0"/>
    <x v="3"/>
    <x v="92"/>
    <x v="1"/>
    <x v="106"/>
    <x v="1"/>
    <x v="94"/>
  </r>
  <r>
    <x v="148"/>
    <x v="0"/>
    <x v="1"/>
    <x v="103"/>
    <x v="1"/>
    <x v="107"/>
    <x v="1"/>
    <x v="95"/>
  </r>
  <r>
    <x v="149"/>
    <x v="0"/>
    <x v="2"/>
    <x v="0"/>
    <x v="0"/>
    <x v="79"/>
    <x v="21"/>
    <x v="0"/>
  </r>
  <r>
    <x v="150"/>
    <x v="0"/>
    <x v="1"/>
    <x v="104"/>
    <x v="1"/>
    <x v="108"/>
    <x v="1"/>
    <x v="96"/>
  </r>
  <r>
    <x v="150"/>
    <x v="0"/>
    <x v="2"/>
    <x v="87"/>
    <x v="0"/>
    <x v="9"/>
    <x v="3"/>
    <x v="0"/>
  </r>
  <r>
    <x v="151"/>
    <x v="0"/>
    <x v="6"/>
    <x v="17"/>
    <x v="0"/>
    <x v="109"/>
    <x v="22"/>
    <x v="0"/>
  </r>
  <r>
    <x v="152"/>
    <x v="0"/>
    <x v="2"/>
    <x v="105"/>
    <x v="0"/>
    <x v="11"/>
    <x v="23"/>
    <x v="0"/>
  </r>
  <r>
    <x v="153"/>
    <x v="0"/>
    <x v="2"/>
    <x v="0"/>
    <x v="0"/>
    <x v="79"/>
    <x v="21"/>
    <x v="0"/>
  </r>
  <r>
    <x v="154"/>
    <x v="0"/>
    <x v="4"/>
    <x v="106"/>
    <x v="1"/>
    <x v="110"/>
    <x v="1"/>
    <x v="97"/>
  </r>
  <r>
    <x v="155"/>
    <x v="0"/>
    <x v="1"/>
    <x v="107"/>
    <x v="1"/>
    <x v="111"/>
    <x v="1"/>
    <x v="98"/>
  </r>
  <r>
    <x v="156"/>
    <x v="0"/>
    <x v="1"/>
    <x v="107"/>
    <x v="1"/>
    <x v="33"/>
    <x v="1"/>
    <x v="26"/>
  </r>
  <r>
    <x v="157"/>
    <x v="0"/>
    <x v="1"/>
    <x v="108"/>
    <x v="1"/>
    <x v="112"/>
    <x v="1"/>
    <x v="99"/>
  </r>
  <r>
    <x v="158"/>
    <x v="0"/>
    <x v="1"/>
    <x v="109"/>
    <x v="1"/>
    <x v="113"/>
    <x v="1"/>
    <x v="100"/>
  </r>
  <r>
    <x v="159"/>
    <x v="0"/>
    <x v="1"/>
    <x v="110"/>
    <x v="1"/>
    <x v="73"/>
    <x v="1"/>
    <x v="65"/>
  </r>
  <r>
    <x v="160"/>
    <x v="0"/>
    <x v="1"/>
    <x v="97"/>
    <x v="1"/>
    <x v="73"/>
    <x v="1"/>
    <x v="65"/>
  </r>
  <r>
    <x v="161"/>
    <x v="0"/>
    <x v="1"/>
    <x v="5"/>
    <x v="1"/>
    <x v="73"/>
    <x v="1"/>
    <x v="65"/>
  </r>
  <r>
    <x v="161"/>
    <x v="0"/>
    <x v="1"/>
    <x v="4"/>
    <x v="1"/>
    <x v="37"/>
    <x v="1"/>
    <x v="30"/>
  </r>
  <r>
    <x v="162"/>
    <x v="0"/>
    <x v="4"/>
    <x v="6"/>
    <x v="1"/>
    <x v="114"/>
    <x v="1"/>
    <x v="101"/>
  </r>
  <r>
    <x v="163"/>
    <x v="0"/>
    <x v="1"/>
    <x v="110"/>
    <x v="1"/>
    <x v="11"/>
    <x v="1"/>
    <x v="8"/>
  </r>
  <r>
    <x v="164"/>
    <x v="0"/>
    <x v="1"/>
    <x v="5"/>
    <x v="1"/>
    <x v="115"/>
    <x v="1"/>
    <x v="102"/>
  </r>
  <r>
    <x v="165"/>
    <x v="0"/>
    <x v="5"/>
    <x v="111"/>
    <x v="1"/>
    <x v="26"/>
    <x v="1"/>
    <x v="20"/>
  </r>
  <r>
    <x v="166"/>
    <x v="0"/>
    <x v="1"/>
    <x v="46"/>
    <x v="1"/>
    <x v="116"/>
    <x v="1"/>
    <x v="103"/>
  </r>
  <r>
    <x v="166"/>
    <x v="0"/>
    <x v="2"/>
    <x v="112"/>
    <x v="0"/>
    <x v="17"/>
    <x v="5"/>
    <x v="0"/>
  </r>
  <r>
    <x v="167"/>
    <x v="0"/>
    <x v="2"/>
    <x v="113"/>
    <x v="1"/>
    <x v="117"/>
    <x v="1"/>
    <x v="104"/>
  </r>
  <r>
    <x v="168"/>
    <x v="0"/>
    <x v="2"/>
    <x v="0"/>
    <x v="0"/>
    <x v="101"/>
    <x v="24"/>
    <x v="0"/>
  </r>
  <r>
    <x v="169"/>
    <x v="0"/>
    <x v="1"/>
    <x v="33"/>
    <x v="1"/>
    <x v="40"/>
    <x v="1"/>
    <x v="33"/>
  </r>
  <r>
    <x v="170"/>
    <x v="0"/>
    <x v="3"/>
    <x v="114"/>
    <x v="1"/>
    <x v="118"/>
    <x v="1"/>
    <x v="105"/>
  </r>
  <r>
    <x v="171"/>
    <x v="0"/>
    <x v="1"/>
    <x v="98"/>
    <x v="1"/>
    <x v="24"/>
    <x v="1"/>
    <x v="19"/>
  </r>
  <r>
    <x v="172"/>
    <x v="0"/>
    <x v="1"/>
    <x v="98"/>
    <x v="1"/>
    <x v="119"/>
    <x v="1"/>
    <x v="106"/>
  </r>
  <r>
    <x v="173"/>
    <x v="0"/>
    <x v="1"/>
    <x v="1"/>
    <x v="1"/>
    <x v="120"/>
    <x v="1"/>
    <x v="107"/>
  </r>
  <r>
    <x v="174"/>
    <x v="0"/>
    <x v="1"/>
    <x v="33"/>
    <x v="1"/>
    <x v="121"/>
    <x v="1"/>
    <x v="108"/>
  </r>
  <r>
    <x v="175"/>
    <x v="0"/>
    <x v="1"/>
    <x v="33"/>
    <x v="1"/>
    <x v="4"/>
    <x v="1"/>
    <x v="3"/>
  </r>
  <r>
    <x v="176"/>
    <x v="0"/>
    <x v="1"/>
    <x v="97"/>
    <x v="1"/>
    <x v="102"/>
    <x v="1"/>
    <x v="109"/>
  </r>
  <r>
    <x v="177"/>
    <x v="0"/>
    <x v="1"/>
    <x v="115"/>
    <x v="1"/>
    <x v="56"/>
    <x v="1"/>
    <x v="49"/>
  </r>
  <r>
    <x v="178"/>
    <x v="0"/>
    <x v="1"/>
    <x v="5"/>
    <x v="1"/>
    <x v="100"/>
    <x v="1"/>
    <x v="89"/>
  </r>
  <r>
    <x v="179"/>
    <x v="0"/>
    <x v="1"/>
    <x v="98"/>
    <x v="1"/>
    <x v="122"/>
    <x v="1"/>
    <x v="110"/>
  </r>
  <r>
    <x v="180"/>
    <x v="0"/>
    <x v="1"/>
    <x v="33"/>
    <x v="1"/>
    <x v="123"/>
    <x v="1"/>
    <x v="111"/>
  </r>
  <r>
    <x v="181"/>
    <x v="0"/>
    <x v="2"/>
    <x v="116"/>
    <x v="0"/>
    <x v="121"/>
    <x v="25"/>
    <x v="0"/>
  </r>
  <r>
    <x v="182"/>
    <x v="0"/>
    <x v="1"/>
    <x v="117"/>
    <x v="1"/>
    <x v="124"/>
    <x v="1"/>
    <x v="112"/>
  </r>
  <r>
    <x v="182"/>
    <x v="0"/>
    <x v="0"/>
    <x v="0"/>
    <x v="0"/>
    <x v="125"/>
    <x v="26"/>
    <x v="0"/>
  </r>
  <r>
    <x v="183"/>
    <x v="0"/>
    <x v="2"/>
    <x v="118"/>
    <x v="1"/>
    <x v="17"/>
    <x v="1"/>
    <x v="17"/>
  </r>
  <r>
    <x v="184"/>
    <x v="0"/>
    <x v="2"/>
    <x v="119"/>
    <x v="1"/>
    <x v="101"/>
    <x v="1"/>
    <x v="90"/>
  </r>
  <r>
    <x v="185"/>
    <x v="0"/>
    <x v="1"/>
    <x v="98"/>
    <x v="1"/>
    <x v="73"/>
    <x v="1"/>
    <x v="65"/>
  </r>
  <r>
    <x v="186"/>
    <x v="0"/>
    <x v="1"/>
    <x v="120"/>
    <x v="1"/>
    <x v="1"/>
    <x v="1"/>
    <x v="1"/>
  </r>
  <r>
    <x v="187"/>
    <x v="0"/>
    <x v="1"/>
    <x v="121"/>
    <x v="1"/>
    <x v="102"/>
    <x v="1"/>
    <x v="109"/>
  </r>
  <r>
    <x v="188"/>
    <x v="0"/>
    <x v="1"/>
    <x v="1"/>
    <x v="1"/>
    <x v="102"/>
    <x v="1"/>
    <x v="109"/>
  </r>
  <r>
    <x v="189"/>
    <x v="0"/>
    <x v="4"/>
    <x v="122"/>
    <x v="1"/>
    <x v="126"/>
    <x v="1"/>
    <x v="113"/>
  </r>
  <r>
    <x v="190"/>
    <x v="0"/>
    <x v="1"/>
    <x v="98"/>
    <x v="1"/>
    <x v="40"/>
    <x v="1"/>
    <x v="33"/>
  </r>
  <r>
    <x v="191"/>
    <x v="0"/>
    <x v="1"/>
    <x v="123"/>
    <x v="1"/>
    <x v="23"/>
    <x v="1"/>
    <x v="18"/>
  </r>
  <r>
    <x v="192"/>
    <x v="0"/>
    <x v="1"/>
    <x v="124"/>
    <x v="1"/>
    <x v="24"/>
    <x v="1"/>
    <x v="19"/>
  </r>
  <r>
    <x v="193"/>
    <x v="0"/>
    <x v="1"/>
    <x v="26"/>
    <x v="1"/>
    <x v="127"/>
    <x v="1"/>
    <x v="114"/>
  </r>
  <r>
    <x v="194"/>
    <x v="0"/>
    <x v="1"/>
    <x v="125"/>
    <x v="1"/>
    <x v="128"/>
    <x v="1"/>
    <x v="115"/>
  </r>
  <r>
    <x v="195"/>
    <x v="0"/>
    <x v="1"/>
    <x v="126"/>
    <x v="1"/>
    <x v="129"/>
    <x v="1"/>
    <x v="116"/>
  </r>
  <r>
    <x v="196"/>
    <x v="0"/>
    <x v="1"/>
    <x v="5"/>
    <x v="1"/>
    <x v="130"/>
    <x v="1"/>
    <x v="117"/>
  </r>
  <r>
    <x v="197"/>
    <x v="0"/>
    <x v="1"/>
    <x v="98"/>
    <x v="1"/>
    <x v="73"/>
    <x v="1"/>
    <x v="65"/>
  </r>
  <r>
    <x v="198"/>
    <x v="0"/>
    <x v="1"/>
    <x v="121"/>
    <x v="1"/>
    <x v="4"/>
    <x v="1"/>
    <x v="3"/>
  </r>
  <r>
    <x v="199"/>
    <x v="0"/>
    <x v="1"/>
    <x v="127"/>
    <x v="1"/>
    <x v="56"/>
    <x v="1"/>
    <x v="49"/>
  </r>
  <r>
    <x v="200"/>
    <x v="0"/>
    <x v="5"/>
    <x v="128"/>
    <x v="1"/>
    <x v="121"/>
    <x v="1"/>
    <x v="108"/>
  </r>
  <r>
    <x v="201"/>
    <x v="0"/>
    <x v="1"/>
    <x v="26"/>
    <x v="1"/>
    <x v="131"/>
    <x v="1"/>
    <x v="118"/>
  </r>
  <r>
    <x v="202"/>
    <x v="0"/>
    <x v="1"/>
    <x v="129"/>
    <x v="1"/>
    <x v="37"/>
    <x v="1"/>
    <x v="30"/>
  </r>
  <r>
    <x v="203"/>
    <x v="0"/>
    <x v="2"/>
    <x v="11"/>
    <x v="0"/>
    <x v="40"/>
    <x v="27"/>
    <x v="0"/>
  </r>
  <r>
    <x v="204"/>
    <x v="0"/>
    <x v="1"/>
    <x v="120"/>
    <x v="1"/>
    <x v="26"/>
    <x v="1"/>
    <x v="20"/>
  </r>
  <r>
    <x v="205"/>
    <x v="0"/>
    <x v="1"/>
    <x v="130"/>
    <x v="1"/>
    <x v="132"/>
    <x v="1"/>
    <x v="119"/>
  </r>
  <r>
    <x v="206"/>
    <x v="0"/>
    <x v="1"/>
    <x v="121"/>
    <x v="1"/>
    <x v="102"/>
    <x v="1"/>
    <x v="109"/>
  </r>
  <r>
    <x v="207"/>
    <x v="0"/>
    <x v="2"/>
    <x v="91"/>
    <x v="0"/>
    <x v="45"/>
    <x v="28"/>
    <x v="0"/>
  </r>
  <r>
    <x v="208"/>
    <x v="0"/>
    <x v="1"/>
    <x v="131"/>
    <x v="1"/>
    <x v="24"/>
    <x v="1"/>
    <x v="19"/>
  </r>
  <r>
    <x v="209"/>
    <x v="0"/>
    <x v="6"/>
    <x v="17"/>
    <x v="0"/>
    <x v="133"/>
    <x v="29"/>
    <x v="0"/>
  </r>
  <r>
    <x v="210"/>
    <x v="0"/>
    <x v="4"/>
    <x v="132"/>
    <x v="1"/>
    <x v="7"/>
    <x v="1"/>
    <x v="6"/>
  </r>
  <r>
    <x v="211"/>
    <x v="0"/>
    <x v="1"/>
    <x v="133"/>
    <x v="1"/>
    <x v="102"/>
    <x v="1"/>
    <x v="1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FF1A52-189C-44FF-95FA-C8E18E90553B}" name="PivotTable1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U9:V11" firstHeaderRow="1" firstDataRow="1" firstDataCol="1" rowPageCount="1" colPageCount="1"/>
  <pivotFields count="10">
    <pivotField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2">
        <item x="0"/>
        <item t="default"/>
      </items>
    </pivotField>
    <pivotField showAll="0">
      <items count="9">
        <item x="0"/>
        <item x="5"/>
        <item x="7"/>
        <item x="1"/>
        <item x="3"/>
        <item x="2"/>
        <item h="1" x="6"/>
        <item x="4"/>
        <item t="default"/>
      </items>
    </pivotField>
    <pivotField axis="axisRow" showAll="0">
      <items count="135">
        <item h="1" x="58"/>
        <item h="1" x="82"/>
        <item h="1" x="13"/>
        <item h="1" x="20"/>
        <item h="1" x="92"/>
        <item h="1" x="83"/>
        <item h="1" x="111"/>
        <item h="1" x="72"/>
        <item h="1" x="101"/>
        <item h="1" x="128"/>
        <item h="1" x="110"/>
        <item h="1" x="29"/>
        <item h="1" x="22"/>
        <item h="1" x="123"/>
        <item h="1" x="37"/>
        <item h="1" x="54"/>
        <item h="1" x="63"/>
        <item h="1" x="79"/>
        <item h="1" x="129"/>
        <item h="1" x="81"/>
        <item h="1" x="130"/>
        <item h="1" x="127"/>
        <item h="1" x="43"/>
        <item h="1" x="23"/>
        <item h="1" x="51"/>
        <item h="1" x="4"/>
        <item h="1" x="103"/>
        <item h="1" x="80"/>
        <item h="1" x="26"/>
        <item h="1" x="107"/>
        <item h="1" x="73"/>
        <item h="1" x="55"/>
        <item h="1" x="115"/>
        <item h="1" x="41"/>
        <item h="1" x="8"/>
        <item h="1" x="96"/>
        <item h="1" x="47"/>
        <item h="1" x="50"/>
        <item h="1" x="75"/>
        <item h="1" x="0"/>
        <item h="1" x="91"/>
        <item h="1" x="99"/>
        <item h="1" x="87"/>
        <item h="1" x="112"/>
        <item h="1" x="49"/>
        <item h="1" x="11"/>
        <item h="1" x="30"/>
        <item h="1" x="88"/>
        <item h="1" x="53"/>
        <item h="1" x="7"/>
        <item h="1" x="42"/>
        <item h="1" x="131"/>
        <item h="1" x="40"/>
        <item h="1" x="68"/>
        <item h="1" x="74"/>
        <item h="1" x="31"/>
        <item h="1" x="84"/>
        <item h="1" x="34"/>
        <item h="1" x="93"/>
        <item h="1" x="14"/>
        <item h="1" x="126"/>
        <item h="1" x="116"/>
        <item h="1" x="67"/>
        <item h="1" x="69"/>
        <item h="1" x="33"/>
        <item h="1" x="10"/>
        <item h="1" x="104"/>
        <item x="48"/>
        <item h="1" x="120"/>
        <item h="1" x="5"/>
        <item h="1" x="86"/>
        <item h="1" x="102"/>
        <item h="1" x="3"/>
        <item h="1" x="98"/>
        <item h="1" x="114"/>
        <item h="1" x="17"/>
        <item h="1" x="15"/>
        <item h="1" x="97"/>
        <item h="1" x="28"/>
        <item h="1" x="95"/>
        <item h="1" x="132"/>
        <item h="1" x="46"/>
        <item h="1" x="124"/>
        <item h="1" x="125"/>
        <item h="1" x="61"/>
        <item h="1" x="38"/>
        <item h="1" x="106"/>
        <item h="1" x="100"/>
        <item h="1" x="6"/>
        <item h="1" x="113"/>
        <item h="1" x="64"/>
        <item h="1" x="85"/>
        <item h="1" x="21"/>
        <item h="1" x="57"/>
        <item h="1" x="94"/>
        <item h="1" x="62"/>
        <item h="1" x="32"/>
        <item h="1" x="105"/>
        <item h="1" x="109"/>
        <item h="1" x="9"/>
        <item h="1" x="1"/>
        <item h="1" x="12"/>
        <item h="1" x="70"/>
        <item h="1" x="2"/>
        <item h="1" x="27"/>
        <item h="1" x="90"/>
        <item h="1" x="122"/>
        <item h="1" x="44"/>
        <item h="1" x="118"/>
        <item h="1" x="65"/>
        <item h="1" x="36"/>
        <item h="1" x="133"/>
        <item h="1" x="77"/>
        <item h="1" x="35"/>
        <item h="1" x="76"/>
        <item h="1" x="66"/>
        <item h="1" x="52"/>
        <item h="1" x="45"/>
        <item h="1" x="56"/>
        <item h="1" x="78"/>
        <item h="1" x="59"/>
        <item h="1" x="117"/>
        <item h="1" x="119"/>
        <item h="1" x="24"/>
        <item h="1" x="19"/>
        <item h="1" x="60"/>
        <item h="1" x="39"/>
        <item h="1" x="25"/>
        <item h="1" x="89"/>
        <item h="1" x="16"/>
        <item h="1" x="71"/>
        <item h="1" x="121"/>
        <item h="1" x="18"/>
        <item h="1" x="108"/>
        <item t="default"/>
      </items>
    </pivotField>
    <pivotField axis="axisPage" showAll="0">
      <items count="3">
        <item x="1"/>
        <item x="0"/>
        <item t="default"/>
      </items>
    </pivotField>
    <pivotField dataField="1" showAll="0">
      <items count="135">
        <item x="36"/>
        <item x="30"/>
        <item x="132"/>
        <item x="129"/>
        <item x="23"/>
        <item x="102"/>
        <item x="24"/>
        <item x="4"/>
        <item x="128"/>
        <item x="110"/>
        <item x="18"/>
        <item x="73"/>
        <item x="7"/>
        <item x="114"/>
        <item x="37"/>
        <item x="14"/>
        <item x="43"/>
        <item x="119"/>
        <item x="8"/>
        <item x="11"/>
        <item x="120"/>
        <item x="5"/>
        <item x="40"/>
        <item x="50"/>
        <item x="53"/>
        <item x="1"/>
        <item x="113"/>
        <item x="31"/>
        <item x="32"/>
        <item x="65"/>
        <item x="64"/>
        <item x="100"/>
        <item x="46"/>
        <item x="124"/>
        <item x="26"/>
        <item x="33"/>
        <item x="25"/>
        <item x="115"/>
        <item x="111"/>
        <item x="96"/>
        <item x="105"/>
        <item x="29"/>
        <item x="13"/>
        <item x="59"/>
        <item x="63"/>
        <item x="34"/>
        <item x="123"/>
        <item x="39"/>
        <item x="94"/>
        <item x="16"/>
        <item x="21"/>
        <item x="19"/>
        <item x="104"/>
        <item x="17"/>
        <item x="58"/>
        <item x="47"/>
        <item x="84"/>
        <item x="127"/>
        <item x="54"/>
        <item x="45"/>
        <item x="87"/>
        <item x="90"/>
        <item x="130"/>
        <item x="112"/>
        <item x="28"/>
        <item x="103"/>
        <item x="52"/>
        <item x="56"/>
        <item x="15"/>
        <item x="116"/>
        <item x="86"/>
        <item x="69"/>
        <item x="22"/>
        <item x="91"/>
        <item x="55"/>
        <item x="9"/>
        <item x="41"/>
        <item x="72"/>
        <item x="107"/>
        <item x="67"/>
        <item x="70"/>
        <item x="121"/>
        <item x="75"/>
        <item x="77"/>
        <item x="95"/>
        <item x="38"/>
        <item x="117"/>
        <item x="80"/>
        <item x="2"/>
        <item x="131"/>
        <item x="89"/>
        <item x="71"/>
        <item x="99"/>
        <item x="122"/>
        <item x="35"/>
        <item x="81"/>
        <item x="126"/>
        <item x="76"/>
        <item x="79"/>
        <item x="12"/>
        <item x="57"/>
        <item x="49"/>
        <item x="74"/>
        <item x="60"/>
        <item x="6"/>
        <item x="10"/>
        <item x="108"/>
        <item x="44"/>
        <item x="83"/>
        <item x="20"/>
        <item x="93"/>
        <item x="92"/>
        <item x="42"/>
        <item x="97"/>
        <item x="48"/>
        <item x="62"/>
        <item x="51"/>
        <item x="106"/>
        <item x="82"/>
        <item x="78"/>
        <item x="88"/>
        <item x="85"/>
        <item x="125"/>
        <item x="61"/>
        <item x="68"/>
        <item x="3"/>
        <item x="118"/>
        <item x="0"/>
        <item x="101"/>
        <item x="66"/>
        <item x="27"/>
        <item x="98"/>
        <item x="109"/>
        <item x="133"/>
        <item t="default"/>
      </items>
    </pivotField>
    <pivotField showAll="0">
      <items count="31">
        <item x="1"/>
        <item x="20"/>
        <item x="19"/>
        <item x="23"/>
        <item x="27"/>
        <item x="16"/>
        <item x="8"/>
        <item x="17"/>
        <item x="5"/>
        <item x="12"/>
        <item x="28"/>
        <item x="14"/>
        <item x="10"/>
        <item x="7"/>
        <item x="3"/>
        <item x="25"/>
        <item x="13"/>
        <item x="2"/>
        <item x="21"/>
        <item x="11"/>
        <item x="4"/>
        <item x="6"/>
        <item x="15"/>
        <item x="26"/>
        <item x="0"/>
        <item x="24"/>
        <item x="9"/>
        <item x="18"/>
        <item x="22"/>
        <item x="29"/>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h="1" sd="0" x="2"/>
        <item sd="0" x="3"/>
        <item sd="0" x="4"/>
        <item sd="0" x="5"/>
        <item sd="0" x="6"/>
        <item h="1" sd="0" x="7"/>
        <item sd="0" x="8"/>
        <item h="1" sd="0" x="9"/>
        <item sd="0" x="10"/>
        <item sd="0" x="11"/>
        <item sd="0" x="12"/>
        <item h="1" sd="0" x="13"/>
        <item t="default"/>
      </items>
    </pivotField>
  </pivotFields>
  <rowFields count="1">
    <field x="3"/>
  </rowFields>
  <rowItems count="2">
    <i>
      <x v="67"/>
    </i>
    <i t="grand">
      <x/>
    </i>
  </rowItems>
  <colItems count="1">
    <i/>
  </colItems>
  <pageFields count="1">
    <pageField fld="4" item="0" hier="-1"/>
  </pageFields>
  <dataFields count="1">
    <dataField name="Sum of Debit/Credit" fld="5"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75BBE9-85FC-4C4A-A83B-8553521D8C4B}" name="PivotTable1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8:L18" firstHeaderRow="1" firstDataRow="1" firstDataCol="1" rowPageCount="1" colPageCount="1"/>
  <pivotFields count="10">
    <pivotField axis="axisRow"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2">
        <item x="0"/>
        <item t="default"/>
      </items>
    </pivotField>
    <pivotField showAll="0">
      <items count="9">
        <item x="0"/>
        <item x="5"/>
        <item x="7"/>
        <item x="1"/>
        <item x="3"/>
        <item x="2"/>
        <item h="1" x="6"/>
        <item x="4"/>
        <item t="default"/>
      </items>
    </pivotField>
    <pivotField showAll="0">
      <items count="135">
        <item x="58"/>
        <item x="82"/>
        <item x="13"/>
        <item x="20"/>
        <item x="92"/>
        <item x="83"/>
        <item x="111"/>
        <item x="72"/>
        <item x="101"/>
        <item x="128"/>
        <item x="110"/>
        <item x="29"/>
        <item x="22"/>
        <item x="123"/>
        <item x="37"/>
        <item x="54"/>
        <item x="63"/>
        <item x="79"/>
        <item x="129"/>
        <item x="81"/>
        <item x="130"/>
        <item x="127"/>
        <item x="43"/>
        <item x="23"/>
        <item x="51"/>
        <item x="4"/>
        <item x="103"/>
        <item x="80"/>
        <item x="26"/>
        <item x="107"/>
        <item x="73"/>
        <item x="55"/>
        <item x="115"/>
        <item x="41"/>
        <item x="8"/>
        <item x="96"/>
        <item x="47"/>
        <item x="50"/>
        <item x="75"/>
        <item x="0"/>
        <item x="91"/>
        <item x="99"/>
        <item x="87"/>
        <item x="112"/>
        <item x="49"/>
        <item x="11"/>
        <item x="30"/>
        <item x="88"/>
        <item x="53"/>
        <item x="7"/>
        <item x="42"/>
        <item x="131"/>
        <item x="40"/>
        <item x="68"/>
        <item x="74"/>
        <item x="31"/>
        <item x="84"/>
        <item x="34"/>
        <item x="93"/>
        <item x="14"/>
        <item x="126"/>
        <item x="116"/>
        <item x="67"/>
        <item x="69"/>
        <item x="33"/>
        <item x="10"/>
        <item x="104"/>
        <item x="48"/>
        <item x="120"/>
        <item x="5"/>
        <item x="86"/>
        <item x="102"/>
        <item x="3"/>
        <item x="98"/>
        <item x="114"/>
        <item x="17"/>
        <item x="15"/>
        <item x="97"/>
        <item x="28"/>
        <item x="95"/>
        <item x="132"/>
        <item x="46"/>
        <item x="124"/>
        <item x="125"/>
        <item x="61"/>
        <item x="38"/>
        <item x="106"/>
        <item x="100"/>
        <item x="6"/>
        <item x="113"/>
        <item x="64"/>
        <item x="85"/>
        <item x="21"/>
        <item x="57"/>
        <item x="94"/>
        <item x="62"/>
        <item x="32"/>
        <item x="105"/>
        <item x="109"/>
        <item x="9"/>
        <item x="1"/>
        <item x="12"/>
        <item x="70"/>
        <item x="2"/>
        <item x="27"/>
        <item x="90"/>
        <item x="122"/>
        <item x="44"/>
        <item x="118"/>
        <item x="65"/>
        <item x="36"/>
        <item x="133"/>
        <item x="77"/>
        <item x="35"/>
        <item x="76"/>
        <item x="66"/>
        <item x="52"/>
        <item x="45"/>
        <item x="56"/>
        <item x="78"/>
        <item x="59"/>
        <item x="117"/>
        <item x="119"/>
        <item x="24"/>
        <item x="19"/>
        <item x="60"/>
        <item x="39"/>
        <item x="25"/>
        <item x="89"/>
        <item x="16"/>
        <item x="71"/>
        <item x="121"/>
        <item x="18"/>
        <item x="108"/>
        <item t="default"/>
      </items>
    </pivotField>
    <pivotField showAll="0">
      <items count="3">
        <item x="1"/>
        <item h="1" x="0"/>
        <item t="default"/>
      </items>
    </pivotField>
    <pivotField axis="axisPage" showAll="0">
      <items count="135">
        <item x="36"/>
        <item x="30"/>
        <item x="132"/>
        <item x="129"/>
        <item x="23"/>
        <item x="102"/>
        <item x="24"/>
        <item x="4"/>
        <item x="128"/>
        <item x="110"/>
        <item x="18"/>
        <item x="73"/>
        <item x="7"/>
        <item x="114"/>
        <item x="37"/>
        <item x="14"/>
        <item x="43"/>
        <item x="119"/>
        <item x="8"/>
        <item x="11"/>
        <item x="120"/>
        <item x="5"/>
        <item x="40"/>
        <item x="50"/>
        <item x="53"/>
        <item x="1"/>
        <item x="113"/>
        <item x="31"/>
        <item x="32"/>
        <item x="65"/>
        <item x="64"/>
        <item x="100"/>
        <item x="46"/>
        <item x="124"/>
        <item x="26"/>
        <item x="33"/>
        <item x="25"/>
        <item x="115"/>
        <item x="111"/>
        <item x="96"/>
        <item x="105"/>
        <item x="29"/>
        <item x="13"/>
        <item x="59"/>
        <item x="63"/>
        <item x="34"/>
        <item x="123"/>
        <item x="39"/>
        <item x="94"/>
        <item x="16"/>
        <item x="21"/>
        <item x="19"/>
        <item x="104"/>
        <item x="17"/>
        <item x="58"/>
        <item x="47"/>
        <item x="84"/>
        <item x="127"/>
        <item x="54"/>
        <item x="45"/>
        <item x="87"/>
        <item x="90"/>
        <item x="130"/>
        <item x="112"/>
        <item x="28"/>
        <item x="103"/>
        <item x="52"/>
        <item x="56"/>
        <item x="15"/>
        <item x="116"/>
        <item x="86"/>
        <item x="69"/>
        <item x="22"/>
        <item x="91"/>
        <item x="55"/>
        <item x="9"/>
        <item x="41"/>
        <item x="72"/>
        <item x="107"/>
        <item x="67"/>
        <item x="70"/>
        <item x="121"/>
        <item x="75"/>
        <item x="77"/>
        <item x="95"/>
        <item x="38"/>
        <item x="117"/>
        <item x="80"/>
        <item x="2"/>
        <item x="131"/>
        <item x="89"/>
        <item x="71"/>
        <item x="99"/>
        <item x="122"/>
        <item x="35"/>
        <item x="81"/>
        <item x="126"/>
        <item x="76"/>
        <item x="79"/>
        <item x="12"/>
        <item x="57"/>
        <item x="49"/>
        <item x="74"/>
        <item x="60"/>
        <item x="6"/>
        <item x="10"/>
        <item x="108"/>
        <item x="44"/>
        <item x="83"/>
        <item x="20"/>
        <item x="93"/>
        <item x="92"/>
        <item x="42"/>
        <item x="97"/>
        <item x="48"/>
        <item x="62"/>
        <item x="51"/>
        <item x="106"/>
        <item x="82"/>
        <item x="78"/>
        <item x="88"/>
        <item x="85"/>
        <item x="125"/>
        <item x="61"/>
        <item x="68"/>
        <item x="3"/>
        <item x="118"/>
        <item x="0"/>
        <item x="101"/>
        <item x="66"/>
        <item x="27"/>
        <item x="98"/>
        <item x="109"/>
        <item x="133"/>
        <item t="default"/>
      </items>
    </pivotField>
    <pivotField dataField="1" showAll="0">
      <items count="31">
        <item h="1" x="1"/>
        <item h="1" x="20"/>
        <item h="1" x="19"/>
        <item h="1" x="23"/>
        <item h="1" x="27"/>
        <item h="1" x="16"/>
        <item h="1" x="8"/>
        <item h="1" x="17"/>
        <item h="1" x="5"/>
        <item h="1" x="12"/>
        <item h="1" x="28"/>
        <item h="1" x="14"/>
        <item h="1" x="10"/>
        <item x="7"/>
        <item h="1" x="3"/>
        <item h="1" x="25"/>
        <item h="1" x="13"/>
        <item h="1" x="2"/>
        <item h="1" x="21"/>
        <item h="1" x="11"/>
        <item h="1" x="4"/>
        <item h="1" x="6"/>
        <item h="1" x="15"/>
        <item h="1" x="26"/>
        <item h="1" x="0"/>
        <item h="1" x="24"/>
        <item h="1" x="9"/>
        <item h="1" x="18"/>
        <item h="1" x="22"/>
        <item h="1" x="29"/>
        <item t="default"/>
      </items>
    </pivotField>
    <pivotField showAll="0">
      <items count="121">
        <item x="0"/>
        <item x="29"/>
        <item x="23"/>
        <item x="119"/>
        <item x="116"/>
        <item x="18"/>
        <item x="109"/>
        <item x="19"/>
        <item x="3"/>
        <item x="115"/>
        <item x="97"/>
        <item x="14"/>
        <item x="65"/>
        <item x="6"/>
        <item x="101"/>
        <item x="30"/>
        <item x="11"/>
        <item x="36"/>
        <item x="106"/>
        <item x="7"/>
        <item x="8"/>
        <item x="107"/>
        <item x="4"/>
        <item x="33"/>
        <item x="43"/>
        <item x="46"/>
        <item x="1"/>
        <item x="100"/>
        <item x="24"/>
        <item x="25"/>
        <item x="56"/>
        <item x="55"/>
        <item x="89"/>
        <item x="39"/>
        <item x="112"/>
        <item x="20"/>
        <item x="26"/>
        <item x="71"/>
        <item x="102"/>
        <item x="98"/>
        <item x="86"/>
        <item x="93"/>
        <item x="22"/>
        <item x="10"/>
        <item x="50"/>
        <item x="54"/>
        <item x="27"/>
        <item x="111"/>
        <item x="32"/>
        <item x="13"/>
        <item x="16"/>
        <item x="15"/>
        <item x="92"/>
        <item x="17"/>
        <item x="40"/>
        <item x="76"/>
        <item x="114"/>
        <item x="47"/>
        <item x="38"/>
        <item x="80"/>
        <item x="117"/>
        <item x="99"/>
        <item x="21"/>
        <item x="91"/>
        <item x="45"/>
        <item x="49"/>
        <item x="12"/>
        <item x="103"/>
        <item x="78"/>
        <item x="60"/>
        <item x="83"/>
        <item x="48"/>
        <item x="34"/>
        <item x="64"/>
        <item x="95"/>
        <item x="58"/>
        <item x="61"/>
        <item x="108"/>
        <item x="67"/>
        <item x="85"/>
        <item x="31"/>
        <item x="104"/>
        <item x="72"/>
        <item x="63"/>
        <item x="118"/>
        <item x="82"/>
        <item x="62"/>
        <item x="88"/>
        <item x="110"/>
        <item x="28"/>
        <item x="73"/>
        <item x="113"/>
        <item x="68"/>
        <item x="70"/>
        <item x="9"/>
        <item x="42"/>
        <item x="66"/>
        <item x="51"/>
        <item x="5"/>
        <item x="79"/>
        <item x="96"/>
        <item x="37"/>
        <item x="75"/>
        <item x="84"/>
        <item x="35"/>
        <item x="87"/>
        <item x="41"/>
        <item x="53"/>
        <item x="44"/>
        <item x="94"/>
        <item x="74"/>
        <item x="69"/>
        <item x="81"/>
        <item x="77"/>
        <item x="52"/>
        <item x="59"/>
        <item x="2"/>
        <item x="105"/>
        <item x="90"/>
        <item x="57"/>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h="1" sd="0" x="2"/>
        <item sd="0" x="3"/>
        <item sd="0" x="4"/>
        <item sd="0" x="5"/>
        <item sd="0" x="6"/>
        <item h="1" sd="0" x="7"/>
        <item sd="0" x="8"/>
        <item h="1" sd="0" x="9"/>
        <item sd="0" x="10"/>
        <item sd="0" x="11"/>
        <item sd="0" x="12"/>
        <item h="1" sd="0" x="13"/>
        <item t="default"/>
      </items>
    </pivotField>
  </pivotFields>
  <rowFields count="3">
    <field x="9"/>
    <field x="8"/>
    <field x="0"/>
  </rowFields>
  <rowItems count="10">
    <i>
      <x v="1"/>
    </i>
    <i>
      <x v="3"/>
    </i>
    <i>
      <x v="4"/>
    </i>
    <i>
      <x v="5"/>
    </i>
    <i>
      <x v="6"/>
    </i>
    <i>
      <x v="8"/>
    </i>
    <i>
      <x v="10"/>
    </i>
    <i>
      <x v="11"/>
    </i>
    <i>
      <x v="12"/>
    </i>
    <i t="grand">
      <x/>
    </i>
  </rowItems>
  <colItems count="1">
    <i/>
  </colItems>
  <pageFields count="1">
    <pageField fld="5" hier="-1"/>
  </pageFields>
  <dataFields count="1">
    <dataField name="Sum of income" fld="6"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094F1-9EF3-44E1-937D-437EB85ACE12}" name="PivotTable1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4:H17" firstHeaderRow="1" firstDataRow="1" firstDataCol="1" rowPageCount="1" colPageCount="1"/>
  <pivotFields count="10">
    <pivotField axis="axisPage"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pivotField axis="axisRow" showAll="0">
      <items count="9">
        <item x="0"/>
        <item x="5"/>
        <item x="7"/>
        <item x="1"/>
        <item x="3"/>
        <item x="2"/>
        <item h="1" x="6"/>
        <item x="4"/>
        <item t="default"/>
      </items>
    </pivotField>
    <pivotField showAll="0"/>
    <pivotField axis="axisRow" showAll="0">
      <items count="3">
        <item x="1"/>
        <item h="1" x="0"/>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h="1" sd="0" x="2"/>
        <item sd="0" x="3"/>
        <item sd="0" x="4"/>
        <item sd="0" x="5"/>
        <item sd="0" x="6"/>
        <item h="1" sd="0" x="7"/>
        <item sd="0" x="8"/>
        <item h="1" sd="0" x="9"/>
        <item sd="0" x="10"/>
        <item sd="0" x="11"/>
        <item sd="0" x="12"/>
        <item h="1" sd="0" x="13"/>
        <item t="default"/>
      </items>
    </pivotField>
  </pivotFields>
  <rowFields count="2">
    <field x="2"/>
    <field x="4"/>
  </rowFields>
  <rowItems count="13">
    <i>
      <x v="1"/>
    </i>
    <i r="1">
      <x/>
    </i>
    <i>
      <x v="2"/>
    </i>
    <i r="1">
      <x/>
    </i>
    <i>
      <x v="3"/>
    </i>
    <i r="1">
      <x/>
    </i>
    <i>
      <x v="4"/>
    </i>
    <i r="1">
      <x/>
    </i>
    <i>
      <x v="5"/>
    </i>
    <i r="1">
      <x/>
    </i>
    <i>
      <x v="7"/>
    </i>
    <i r="1">
      <x/>
    </i>
    <i t="grand">
      <x/>
    </i>
  </rowItems>
  <colItems count="1">
    <i/>
  </colItems>
  <pageFields count="1">
    <pageField fld="0" hier="-1"/>
  </pageFields>
  <dataFields count="1">
    <dataField name="Sum of Debit/Credit" fld="5" baseField="0" baseItem="0"/>
  </dataFields>
  <chartFormats count="11">
    <chartFormat chart="2"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3">
          <reference field="4294967294" count="1" selected="0">
            <x v="0"/>
          </reference>
          <reference field="2" count="1" selected="0">
            <x v="0"/>
          </reference>
          <reference field="4" count="1" selected="0">
            <x v="1"/>
          </reference>
        </references>
      </pivotArea>
    </chartFormat>
    <chartFormat chart="5" format="13">
      <pivotArea type="data" outline="0" fieldPosition="0">
        <references count="3">
          <reference field="4294967294" count="1" selected="0">
            <x v="0"/>
          </reference>
          <reference field="2" count="1" selected="0">
            <x v="1"/>
          </reference>
          <reference field="4" count="1" selected="0">
            <x v="0"/>
          </reference>
        </references>
      </pivotArea>
    </chartFormat>
    <chartFormat chart="5" format="14">
      <pivotArea type="data" outline="0" fieldPosition="0">
        <references count="3">
          <reference field="4294967294" count="1" selected="0">
            <x v="0"/>
          </reference>
          <reference field="2" count="1" selected="0">
            <x v="2"/>
          </reference>
          <reference field="4" count="1" selected="0">
            <x v="0"/>
          </reference>
        </references>
      </pivotArea>
    </chartFormat>
    <chartFormat chart="5" format="15">
      <pivotArea type="data" outline="0" fieldPosition="0">
        <references count="3">
          <reference field="4294967294" count="1" selected="0">
            <x v="0"/>
          </reference>
          <reference field="2" count="1" selected="0">
            <x v="3"/>
          </reference>
          <reference field="4" count="1" selected="0">
            <x v="0"/>
          </reference>
        </references>
      </pivotArea>
    </chartFormat>
    <chartFormat chart="5" format="16">
      <pivotArea type="data" outline="0" fieldPosition="0">
        <references count="3">
          <reference field="4294967294" count="1" selected="0">
            <x v="0"/>
          </reference>
          <reference field="2" count="1" selected="0">
            <x v="4"/>
          </reference>
          <reference field="4" count="1" selected="0">
            <x v="0"/>
          </reference>
        </references>
      </pivotArea>
    </chartFormat>
    <chartFormat chart="5" format="17">
      <pivotArea type="data" outline="0" fieldPosition="0">
        <references count="3">
          <reference field="4294967294" count="1" selected="0">
            <x v="0"/>
          </reference>
          <reference field="2" count="1" selected="0">
            <x v="5"/>
          </reference>
          <reference field="4" count="1" selected="0">
            <x v="0"/>
          </reference>
        </references>
      </pivotArea>
    </chartFormat>
    <chartFormat chart="5" format="18">
      <pivotArea type="data" outline="0" fieldPosition="0">
        <references count="3">
          <reference field="4294967294" count="1" selected="0">
            <x v="0"/>
          </reference>
          <reference field="2" count="1" selected="0">
            <x v="5"/>
          </reference>
          <reference field="4" count="1" selected="0">
            <x v="1"/>
          </reference>
        </references>
      </pivotArea>
    </chartFormat>
    <chartFormat chart="5" format="19">
      <pivotArea type="data" outline="0" fieldPosition="0">
        <references count="3">
          <reference field="4294967294" count="1" selected="0">
            <x v="0"/>
          </reference>
          <reference field="2" count="1" selected="0">
            <x v="6"/>
          </reference>
          <reference field="4" count="1" selected="0">
            <x v="1"/>
          </reference>
        </references>
      </pivotArea>
    </chartFormat>
    <chartFormat chart="5" format="20">
      <pivotArea type="data" outline="0" fieldPosition="0">
        <references count="3">
          <reference field="4294967294" count="1" selected="0">
            <x v="0"/>
          </reference>
          <reference field="2" count="1" selected="0">
            <x v="7"/>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02A0F-66F6-4D9C-B9F2-59D39DD7611B}" name="PivotTable1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3" firstHeaderRow="1" firstDataRow="1" firstDataCol="1" rowPageCount="1" colPageCount="1"/>
  <pivotFields count="10">
    <pivotField axis="axisRow"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pivotField showAll="0">
      <items count="9">
        <item x="0"/>
        <item x="5"/>
        <item x="7"/>
        <item x="1"/>
        <item x="3"/>
        <item x="2"/>
        <item h="1" x="6"/>
        <item x="4"/>
        <item t="default"/>
      </items>
    </pivotField>
    <pivotField showAll="0"/>
    <pivotField axis="axisPage" showAll="0">
      <items count="3">
        <item x="1"/>
        <item x="0"/>
        <item t="default"/>
      </items>
    </pivotField>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h="1" sd="0" x="2"/>
        <item sd="0" x="3"/>
        <item sd="0" x="4"/>
        <item sd="0" x="5"/>
        <item sd="0" x="6"/>
        <item h="1" sd="0" x="7"/>
        <item sd="0" x="8"/>
        <item h="1" sd="0" x="9"/>
        <item sd="0" x="10"/>
        <item sd="0" x="11"/>
        <item sd="0" x="12"/>
        <item h="1" sd="0" x="13"/>
        <item t="default"/>
      </items>
    </pivotField>
  </pivotFields>
  <rowFields count="3">
    <field x="9"/>
    <field x="8"/>
    <field x="0"/>
  </rowFields>
  <rowItems count="10">
    <i>
      <x v="1"/>
    </i>
    <i>
      <x v="3"/>
    </i>
    <i>
      <x v="4"/>
    </i>
    <i>
      <x v="5"/>
    </i>
    <i>
      <x v="6"/>
    </i>
    <i>
      <x v="8"/>
    </i>
    <i>
      <x v="10"/>
    </i>
    <i>
      <x v="11"/>
    </i>
    <i>
      <x v="12"/>
    </i>
    <i t="grand">
      <x/>
    </i>
  </rowItems>
  <colItems count="1">
    <i/>
  </colItems>
  <pageFields count="1">
    <pageField fld="4" item="0" hier="-1"/>
  </pageFields>
  <dataFields count="1">
    <dataField name="Sum of Debit/Credi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6852BE-A3FC-4134-AE1F-8BFD00DE0F20}" sourceName="Category">
  <pivotTables>
    <pivotTable tabId="8" name="PivotTable16"/>
    <pivotTable tabId="8" name="PivotTable14"/>
    <pivotTable tabId="8" name="PivotTable15"/>
    <pivotTable tabId="8" name="PivotTable17"/>
  </pivotTables>
  <data>
    <tabular pivotCacheId="1642037961">
      <items count="8">
        <i x="5" s="1"/>
        <i x="7" s="1"/>
        <i x="1" s="1"/>
        <i x="3" s="1"/>
        <i x="2" s="1"/>
        <i x="4" s="1"/>
        <i x="0" s="1"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Expense" xr10:uid="{9937DDC8-DD07-48C8-AF59-410858A418B3}" sourceName="Income/Expense">
  <pivotTables>
    <pivotTable tabId="8" name="PivotTable16"/>
    <pivotTable tabId="8" name="PivotTable14"/>
    <pivotTable tabId="8" name="PivotTable15"/>
    <pivotTable tabId="8" name="PivotTable17"/>
  </pivotTables>
  <data>
    <tabular pivotCacheId="164203796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__Time" xr10:uid="{1396A2CC-F9B2-40C9-94B1-1035F3D95364}" sourceName="Months (Date / Time)">
  <pivotTables>
    <pivotTable tabId="8" name="PivotTable16"/>
    <pivotTable tabId="8" name="PivotTable14"/>
    <pivotTable tabId="8" name="PivotTable15"/>
    <pivotTable tabId="8" name="PivotTable17"/>
  </pivotTables>
  <data>
    <tabular pivotCacheId="1642037961">
      <items count="14">
        <i x="1" s="1"/>
        <i x="2"/>
        <i x="3" s="1"/>
        <i x="4" s="1"/>
        <i x="5" s="1"/>
        <i x="6" s="1"/>
        <i x="7"/>
        <i x="8" s="1"/>
        <i x="9"/>
        <i x="10" s="1"/>
        <i x="11" s="1"/>
        <i x="12" s="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63D0959-FB50-4D43-99E4-EFF01920E714}" sourceName="Sub category">
  <pivotTables>
    <pivotTable tabId="8" name="PivotTable16"/>
  </pivotTables>
  <data>
    <tabular pivotCacheId="1642037961">
      <items count="134">
        <i x="58" s="1"/>
        <i x="13" s="1"/>
        <i x="20" s="1"/>
        <i x="92" s="1"/>
        <i x="111" s="1"/>
        <i x="72" s="1"/>
        <i x="101" s="1"/>
        <i x="128" s="1"/>
        <i x="110" s="1"/>
        <i x="22" s="1"/>
        <i x="123" s="1"/>
        <i x="54" s="1"/>
        <i x="63" s="1"/>
        <i x="79" s="1"/>
        <i x="129" s="1"/>
        <i x="130" s="1"/>
        <i x="127" s="1"/>
        <i x="23" s="1"/>
        <i x="51" s="1"/>
        <i x="4" s="1"/>
        <i x="103" s="1"/>
        <i x="80" s="1"/>
        <i x="26" s="1"/>
        <i x="107" s="1"/>
        <i x="73" s="1"/>
        <i x="55" s="1"/>
        <i x="115" s="1"/>
        <i x="8" s="1"/>
        <i x="96" s="1"/>
        <i x="88" s="1"/>
        <i x="53" s="1"/>
        <i x="131" s="1"/>
        <i x="68" s="1"/>
        <i x="74" s="1"/>
        <i x="34" s="1"/>
        <i x="14" s="1"/>
        <i x="126" s="1"/>
        <i x="67" s="1"/>
        <i x="69" s="1"/>
        <i x="33" s="1"/>
        <i x="10" s="1"/>
        <i x="104" s="1"/>
        <i x="48" s="1"/>
        <i x="120" s="1"/>
        <i x="5" s="1"/>
        <i x="86" s="1"/>
        <i x="102" s="1"/>
        <i x="3" s="1"/>
        <i x="98" s="1"/>
        <i x="114" s="1"/>
        <i x="15" s="1"/>
        <i x="97" s="1"/>
        <i x="132" s="1"/>
        <i x="46" s="1"/>
        <i x="124" s="1"/>
        <i x="125" s="1"/>
        <i x="61" s="1"/>
        <i x="106" s="1"/>
        <i x="100" s="1"/>
        <i x="6" s="1"/>
        <i x="113" s="1"/>
        <i x="64" s="1"/>
        <i x="85" s="1"/>
        <i x="21" s="1"/>
        <i x="57" s="1"/>
        <i x="62" s="1"/>
        <i x="109" s="1"/>
        <i x="9" s="1"/>
        <i x="1" s="1"/>
        <i x="12" s="1"/>
        <i x="70" s="1"/>
        <i x="2" s="1"/>
        <i x="90" s="1"/>
        <i x="122" s="1"/>
        <i x="118" s="1"/>
        <i x="65" s="1"/>
        <i x="133" s="1"/>
        <i x="77" s="1"/>
        <i x="76" s="1"/>
        <i x="66" s="1"/>
        <i x="52" s="1"/>
        <i x="56" s="1"/>
        <i x="78" s="1"/>
        <i x="59" s="1"/>
        <i x="117" s="1"/>
        <i x="119" s="1"/>
        <i x="24" s="1"/>
        <i x="19" s="1"/>
        <i x="60" s="1"/>
        <i x="89" s="1"/>
        <i x="71" s="1"/>
        <i x="121" s="1"/>
        <i x="18" s="1"/>
        <i x="108" s="1"/>
        <i x="82" s="1" nd="1"/>
        <i x="83" s="1" nd="1"/>
        <i x="29" s="1" nd="1"/>
        <i x="37" s="1" nd="1"/>
        <i x="81" s="1" nd="1"/>
        <i x="43" s="1" nd="1"/>
        <i x="41" s="1" nd="1"/>
        <i x="47" s="1" nd="1"/>
        <i x="50" s="1" nd="1"/>
        <i x="75" s="1" nd="1"/>
        <i x="0" s="1" nd="1"/>
        <i x="91" s="1" nd="1"/>
        <i x="99" s="1" nd="1"/>
        <i x="87" s="1" nd="1"/>
        <i x="112" s="1" nd="1"/>
        <i x="49" s="1" nd="1"/>
        <i x="11" s="1" nd="1"/>
        <i x="30" s="1" nd="1"/>
        <i x="7" s="1" nd="1"/>
        <i x="42" s="1" nd="1"/>
        <i x="40" s="1" nd="1"/>
        <i x="31" s="1" nd="1"/>
        <i x="84" s="1" nd="1"/>
        <i x="93" s="1" nd="1"/>
        <i x="116" s="1" nd="1"/>
        <i x="17" s="1" nd="1"/>
        <i x="28" s="1" nd="1"/>
        <i x="95" s="1" nd="1"/>
        <i x="38" s="1" nd="1"/>
        <i x="94" s="1" nd="1"/>
        <i x="32" s="1" nd="1"/>
        <i x="105" s="1" nd="1"/>
        <i x="27" s="1" nd="1"/>
        <i x="44" s="1" nd="1"/>
        <i x="36" s="1" nd="1"/>
        <i x="35" s="1" nd="1"/>
        <i x="45" s="1" nd="1"/>
        <i x="39" s="1" nd="1"/>
        <i x="25" s="1" nd="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22A3BFB-B4C0-4922-BF64-C58FD338A660}" cache="Slicer_Category" caption="Category" rowHeight="234950"/>
  <slicer name="Income/Expense 1" xr10:uid="{1D8055F7-1A32-4087-B636-7985562053C8}" cache="Slicer_Income_Expense" caption="Income/Expense" rowHeight="234950"/>
  <slicer name="Months (Date / Time) 1" xr10:uid="{028F7D34-B778-41AA-98BB-98822EF65611}" cache="Slicer_Months__Date___Time" caption="Months (Date / Ti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F29442-2BBB-44E9-8BD2-1697D79E9A1D}" cache="Slicer_Category" caption="Category" rowHeight="234950"/>
  <slicer name="Income/Expense" xr10:uid="{0917500C-CA84-49E2-B190-B4FE3BC6878B}" cache="Slicer_Income_Expense" caption="Income/Expense" rowHeight="234950"/>
  <slicer name="Months (Date / Time)" xr10:uid="{5ADED99E-00E5-41F0-9148-973EBFDAE950}" cache="Slicer_Months__Date___Time" caption="Months (Date / Time)" rowHeight="234950"/>
  <slicer name="Sub category" xr10:uid="{3485A8C7-926C-40A6-8383-212B24BCFD39}" cache="Slicer_Sub_category" caption="Sub category"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35D6-2135-48F0-B31C-177A0C630F08}">
  <dimension ref="E8:AQ343"/>
  <sheetViews>
    <sheetView tabSelected="1" zoomScale="31" zoomScaleNormal="119" workbookViewId="0">
      <selection activeCell="AO12" sqref="AO12"/>
    </sheetView>
  </sheetViews>
  <sheetFormatPr defaultRowHeight="14.4" x14ac:dyDescent="0.3"/>
  <sheetData>
    <row r="8" spans="11:36" x14ac:dyDescent="0.3">
      <c r="K8" t="e" cm="1">
        <f t="array" ref="K8">+Sheet1!L6total Inc</f>
        <v>#NAME?</v>
      </c>
    </row>
    <row r="13" spans="11:36" x14ac:dyDescent="0.3">
      <c r="AG13" t="e" vm="1">
        <v>#VALUE!</v>
      </c>
    </row>
    <row r="16" spans="11:36" x14ac:dyDescent="0.3">
      <c r="AJ16" t="e" vm="2">
        <v>#VALUE!</v>
      </c>
    </row>
    <row r="21" spans="43:43" ht="18" x14ac:dyDescent="0.35">
      <c r="AQ21" s="8"/>
    </row>
    <row r="22" spans="43:43" ht="18" x14ac:dyDescent="0.35">
      <c r="AQ22" s="8"/>
    </row>
    <row r="23" spans="43:43" ht="18" x14ac:dyDescent="0.35">
      <c r="AQ23" s="8"/>
    </row>
    <row r="24" spans="43:43" ht="18" x14ac:dyDescent="0.35">
      <c r="AQ24" s="8"/>
    </row>
    <row r="25" spans="43:43" ht="18" x14ac:dyDescent="0.35">
      <c r="AQ25" s="8"/>
    </row>
    <row r="26" spans="43:43" ht="18" x14ac:dyDescent="0.35">
      <c r="AQ26" s="8"/>
    </row>
    <row r="27" spans="43:43" ht="18" x14ac:dyDescent="0.35">
      <c r="AQ27" s="8"/>
    </row>
    <row r="28" spans="43:43" ht="18" x14ac:dyDescent="0.35">
      <c r="AQ28" s="8"/>
    </row>
    <row r="29" spans="43:43" ht="18" x14ac:dyDescent="0.35">
      <c r="AQ29" s="8"/>
    </row>
    <row r="343" spans="5:5" x14ac:dyDescent="0.3">
      <c r="E343" t="e" cm="1">
        <f t="array" ref="E343">+Sheet1!L6total Inc</f>
        <v>#NAME?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8662-F3B8-49DA-96BF-AB3F6399E4D3}">
  <dimension ref="A1:V18"/>
  <sheetViews>
    <sheetView topLeftCell="G14" zoomScale="59" workbookViewId="0">
      <selection activeCell="AJ33" sqref="AJ33"/>
    </sheetView>
  </sheetViews>
  <sheetFormatPr defaultRowHeight="14.4" x14ac:dyDescent="0.3"/>
  <cols>
    <col min="1" max="1" width="18.5546875" bestFit="1" customWidth="1"/>
    <col min="2" max="2" width="24.77734375" bestFit="1" customWidth="1"/>
    <col min="7" max="7" width="20.109375" bestFit="1" customWidth="1"/>
    <col min="8" max="8" width="24.77734375" bestFit="1" customWidth="1"/>
    <col min="11" max="11" width="18.5546875" bestFit="1" customWidth="1"/>
    <col min="12" max="12" width="19.109375" bestFit="1" customWidth="1"/>
    <col min="13" max="13" width="3" bestFit="1" customWidth="1"/>
    <col min="14" max="14" width="9.6640625" customWidth="1"/>
    <col min="15" max="18" width="3" bestFit="1" customWidth="1"/>
    <col min="19" max="19" width="7.5546875" customWidth="1"/>
    <col min="20" max="20" width="3" bestFit="1" customWidth="1"/>
    <col min="21" max="21" width="20.77734375" bestFit="1" customWidth="1"/>
    <col min="22" max="22" width="24.77734375" bestFit="1" customWidth="1"/>
    <col min="23" max="23" width="9.6640625" customWidth="1"/>
    <col min="24" max="24" width="8" customWidth="1"/>
    <col min="25" max="25" width="9.21875" customWidth="1"/>
    <col min="26" max="38" width="3" bestFit="1" customWidth="1"/>
    <col min="39" max="51" width="4" bestFit="1" customWidth="1"/>
    <col min="52" max="52" width="6" bestFit="1" customWidth="1"/>
    <col min="53" max="66" width="4" bestFit="1" customWidth="1"/>
    <col min="67" max="67" width="6" bestFit="1" customWidth="1"/>
    <col min="68" max="74" width="4" bestFit="1" customWidth="1"/>
    <col min="75" max="75" width="6" bestFit="1" customWidth="1"/>
    <col min="76" max="79" width="4" bestFit="1" customWidth="1"/>
    <col min="80" max="81" width="7" bestFit="1" customWidth="1"/>
    <col min="82" max="84" width="4" bestFit="1" customWidth="1"/>
    <col min="85" max="85" width="6" bestFit="1" customWidth="1"/>
    <col min="86" max="86" width="7" bestFit="1" customWidth="1"/>
    <col min="87" max="99" width="4" bestFit="1" customWidth="1"/>
    <col min="100" max="100" width="5" bestFit="1" customWidth="1"/>
    <col min="101" max="101" width="4" bestFit="1" customWidth="1"/>
    <col min="102" max="102" width="6" bestFit="1" customWidth="1"/>
    <col min="103" max="108" width="4" bestFit="1" customWidth="1"/>
    <col min="109" max="109" width="7" bestFit="1" customWidth="1"/>
    <col min="110" max="113" width="5" bestFit="1" customWidth="1"/>
    <col min="114" max="114" width="8" bestFit="1" customWidth="1"/>
    <col min="115" max="139" width="5" bestFit="1" customWidth="1"/>
    <col min="140" max="141" width="6" bestFit="1" customWidth="1"/>
    <col min="142" max="142" width="7" bestFit="1" customWidth="1"/>
    <col min="143" max="145" width="6" bestFit="1" customWidth="1"/>
    <col min="146" max="146" width="10.77734375" bestFit="1" customWidth="1"/>
  </cols>
  <sheetData>
    <row r="1" spans="1:22" x14ac:dyDescent="0.3">
      <c r="A1" s="3" t="s">
        <v>4</v>
      </c>
      <c r="B1" t="s">
        <v>12</v>
      </c>
    </row>
    <row r="2" spans="1:22" x14ac:dyDescent="0.3">
      <c r="G2" s="3" t="s">
        <v>0</v>
      </c>
      <c r="H2" t="s">
        <v>165</v>
      </c>
    </row>
    <row r="3" spans="1:22" x14ac:dyDescent="0.3">
      <c r="A3" s="3" t="s">
        <v>153</v>
      </c>
      <c r="B3" t="s">
        <v>164</v>
      </c>
    </row>
    <row r="4" spans="1:22" x14ac:dyDescent="0.3">
      <c r="A4" s="4" t="s">
        <v>155</v>
      </c>
      <c r="B4" s="5">
        <v>13244.15</v>
      </c>
      <c r="G4" s="3" t="s">
        <v>153</v>
      </c>
      <c r="H4" t="s">
        <v>164</v>
      </c>
    </row>
    <row r="5" spans="1:22" x14ac:dyDescent="0.3">
      <c r="A5" s="4" t="s">
        <v>156</v>
      </c>
      <c r="B5" s="5">
        <v>11145</v>
      </c>
      <c r="G5" s="4" t="s">
        <v>27</v>
      </c>
      <c r="H5" s="5">
        <v>6075.72</v>
      </c>
    </row>
    <row r="6" spans="1:22" x14ac:dyDescent="0.3">
      <c r="A6" s="4" t="s">
        <v>157</v>
      </c>
      <c r="B6" s="5">
        <v>20739</v>
      </c>
      <c r="G6" s="6" t="s">
        <v>12</v>
      </c>
      <c r="H6" s="5">
        <v>6075.72</v>
      </c>
      <c r="K6" s="3" t="s">
        <v>5</v>
      </c>
      <c r="L6" t="s">
        <v>165</v>
      </c>
    </row>
    <row r="7" spans="1:22" x14ac:dyDescent="0.3">
      <c r="A7" s="4" t="s">
        <v>158</v>
      </c>
      <c r="B7" s="5">
        <v>8945.7200000000012</v>
      </c>
      <c r="G7" s="4" t="s">
        <v>75</v>
      </c>
      <c r="H7" s="5">
        <v>14000</v>
      </c>
      <c r="U7" s="3" t="s">
        <v>4</v>
      </c>
      <c r="V7" t="s">
        <v>12</v>
      </c>
    </row>
    <row r="8" spans="1:22" x14ac:dyDescent="0.3">
      <c r="A8" s="4" t="s">
        <v>159</v>
      </c>
      <c r="B8" s="5">
        <v>12651.81</v>
      </c>
      <c r="G8" s="6" t="s">
        <v>12</v>
      </c>
      <c r="H8" s="5">
        <v>14000</v>
      </c>
      <c r="K8" s="3" t="s">
        <v>153</v>
      </c>
      <c r="L8" t="s">
        <v>168</v>
      </c>
    </row>
    <row r="9" spans="1:22" x14ac:dyDescent="0.3">
      <c r="A9" s="4" t="s">
        <v>160</v>
      </c>
      <c r="B9" s="5">
        <v>5711</v>
      </c>
      <c r="G9" s="4" t="s">
        <v>10</v>
      </c>
      <c r="H9" s="5">
        <v>18472.609999999997</v>
      </c>
      <c r="K9" s="4" t="s">
        <v>155</v>
      </c>
      <c r="L9" s="5">
        <v>0</v>
      </c>
      <c r="U9" s="3" t="s">
        <v>153</v>
      </c>
      <c r="V9" t="s">
        <v>164</v>
      </c>
    </row>
    <row r="10" spans="1:22" x14ac:dyDescent="0.3">
      <c r="A10" s="4" t="s">
        <v>161</v>
      </c>
      <c r="B10" s="5">
        <v>13521</v>
      </c>
      <c r="G10" s="6" t="s">
        <v>12</v>
      </c>
      <c r="H10" s="5">
        <v>18472.609999999997</v>
      </c>
      <c r="K10" s="4" t="s">
        <v>156</v>
      </c>
      <c r="L10" s="5">
        <v>0</v>
      </c>
      <c r="U10" s="4" t="s">
        <v>65</v>
      </c>
      <c r="V10" s="5">
        <v>300</v>
      </c>
    </row>
    <row r="11" spans="1:22" x14ac:dyDescent="0.3">
      <c r="A11" s="4" t="s">
        <v>162</v>
      </c>
      <c r="B11" s="5">
        <v>7312.9</v>
      </c>
      <c r="G11" s="4" t="s">
        <v>14</v>
      </c>
      <c r="H11" s="5">
        <v>44755</v>
      </c>
      <c r="K11" s="4" t="s">
        <v>157</v>
      </c>
      <c r="L11" s="5">
        <v>0</v>
      </c>
      <c r="U11" s="4" t="s">
        <v>154</v>
      </c>
      <c r="V11" s="5">
        <v>300</v>
      </c>
    </row>
    <row r="12" spans="1:22" x14ac:dyDescent="0.3">
      <c r="A12" s="4" t="s">
        <v>163</v>
      </c>
      <c r="B12" s="5">
        <v>24025.75</v>
      </c>
      <c r="G12" s="6" t="s">
        <v>12</v>
      </c>
      <c r="H12" s="5">
        <v>44755</v>
      </c>
      <c r="K12" s="4" t="s">
        <v>158</v>
      </c>
      <c r="L12" s="5">
        <v>0</v>
      </c>
    </row>
    <row r="13" spans="1:22" x14ac:dyDescent="0.3">
      <c r="A13" s="4" t="s">
        <v>154</v>
      </c>
      <c r="B13" s="5">
        <v>117296.33</v>
      </c>
      <c r="G13" s="4" t="s">
        <v>13</v>
      </c>
      <c r="H13" s="5">
        <v>28229</v>
      </c>
      <c r="K13" s="4" t="s">
        <v>159</v>
      </c>
      <c r="L13" s="5">
        <v>0</v>
      </c>
    </row>
    <row r="14" spans="1:22" x14ac:dyDescent="0.3">
      <c r="G14" s="6" t="s">
        <v>12</v>
      </c>
      <c r="H14" s="5">
        <v>28229</v>
      </c>
      <c r="K14" s="4" t="s">
        <v>160</v>
      </c>
      <c r="L14" s="5">
        <v>0</v>
      </c>
    </row>
    <row r="15" spans="1:22" x14ac:dyDescent="0.3">
      <c r="G15" s="4" t="s">
        <v>16</v>
      </c>
      <c r="H15" s="5">
        <v>5764</v>
      </c>
      <c r="K15" s="4" t="s">
        <v>161</v>
      </c>
      <c r="L15" s="5">
        <v>0</v>
      </c>
    </row>
    <row r="16" spans="1:22" x14ac:dyDescent="0.3">
      <c r="G16" s="6" t="s">
        <v>12</v>
      </c>
      <c r="H16" s="5">
        <v>5764</v>
      </c>
      <c r="K16" s="4" t="s">
        <v>162</v>
      </c>
      <c r="L16" s="5">
        <v>0</v>
      </c>
    </row>
    <row r="17" spans="7:12" x14ac:dyDescent="0.3">
      <c r="G17" s="4" t="s">
        <v>154</v>
      </c>
      <c r="H17" s="5">
        <v>117296.33</v>
      </c>
      <c r="K17" s="4" t="s">
        <v>163</v>
      </c>
      <c r="L17" s="5">
        <v>0</v>
      </c>
    </row>
    <row r="18" spans="7:12" x14ac:dyDescent="0.3">
      <c r="K18" s="4" t="s">
        <v>154</v>
      </c>
      <c r="L18" s="5">
        <v>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DBB12-C8CB-4B08-8991-39345C12E75C}">
  <dimension ref="A1:K226"/>
  <sheetViews>
    <sheetView zoomScale="61" zoomScaleNormal="130" workbookViewId="0">
      <selection activeCell="K11" sqref="K11"/>
    </sheetView>
  </sheetViews>
  <sheetFormatPr defaultRowHeight="14.4" x14ac:dyDescent="0.3"/>
  <cols>
    <col min="1" max="6" width="24" customWidth="1"/>
    <col min="8" max="8" width="13.109375" customWidth="1"/>
    <col min="10" max="10" width="17.109375" customWidth="1"/>
  </cols>
  <sheetData>
    <row r="1" spans="1:11" x14ac:dyDescent="0.3">
      <c r="A1" s="1" t="s">
        <v>0</v>
      </c>
      <c r="B1" s="1" t="s">
        <v>1</v>
      </c>
      <c r="C1" s="1" t="s">
        <v>2</v>
      </c>
      <c r="D1" s="1" t="s">
        <v>3</v>
      </c>
      <c r="E1" s="1" t="s">
        <v>4</v>
      </c>
      <c r="F1" s="1" t="s">
        <v>5</v>
      </c>
      <c r="G1" s="1" t="s">
        <v>166</v>
      </c>
      <c r="H1" s="1" t="s">
        <v>167</v>
      </c>
    </row>
    <row r="2" spans="1:11" x14ac:dyDescent="0.3">
      <c r="A2" s="2">
        <v>44197.90625</v>
      </c>
      <c r="B2" t="s">
        <v>6</v>
      </c>
      <c r="C2" t="s">
        <v>7</v>
      </c>
      <c r="D2" t="s">
        <v>8</v>
      </c>
      <c r="E2" t="s">
        <v>9</v>
      </c>
      <c r="F2">
        <v>8000</v>
      </c>
      <c r="G2">
        <f>IF(E2="income",F2,0)</f>
        <v>8000</v>
      </c>
      <c r="H2">
        <v>22</v>
      </c>
    </row>
    <row r="3" spans="1:11" x14ac:dyDescent="0.3">
      <c r="A3" s="2">
        <v>44197.906944444447</v>
      </c>
      <c r="B3" t="s">
        <v>6</v>
      </c>
      <c r="C3" t="s">
        <v>10</v>
      </c>
      <c r="D3" t="s">
        <v>11</v>
      </c>
      <c r="E3" t="s">
        <v>12</v>
      </c>
      <c r="F3">
        <v>85</v>
      </c>
      <c r="G3">
        <f t="shared" ref="G3:G66" si="0">IF(E3="income",F3,0)</f>
        <v>0</v>
      </c>
      <c r="H3">
        <f t="shared" ref="H3:H66" si="1">IF(E3="expense",F3,0)</f>
        <v>85</v>
      </c>
    </row>
    <row r="4" spans="1:11" x14ac:dyDescent="0.3">
      <c r="A4" s="2">
        <v>44199.76458333333</v>
      </c>
      <c r="B4" t="s">
        <v>6</v>
      </c>
      <c r="C4" t="s">
        <v>13</v>
      </c>
      <c r="D4" t="s">
        <v>8</v>
      </c>
      <c r="E4" t="s">
        <v>9</v>
      </c>
      <c r="F4">
        <v>500</v>
      </c>
      <c r="G4">
        <f t="shared" si="0"/>
        <v>500</v>
      </c>
      <c r="H4">
        <f t="shared" si="1"/>
        <v>0</v>
      </c>
    </row>
    <row r="5" spans="1:11" x14ac:dyDescent="0.3">
      <c r="A5" s="2">
        <v>44199.765277777777</v>
      </c>
      <c r="B5" t="s">
        <v>6</v>
      </c>
      <c r="C5" t="s">
        <v>14</v>
      </c>
      <c r="D5" t="s">
        <v>15</v>
      </c>
      <c r="E5" t="s">
        <v>12</v>
      </c>
      <c r="F5">
        <v>6667</v>
      </c>
      <c r="G5">
        <f t="shared" si="0"/>
        <v>0</v>
      </c>
      <c r="H5">
        <f t="shared" si="1"/>
        <v>6667</v>
      </c>
      <c r="J5" t="s">
        <v>169</v>
      </c>
      <c r="K5">
        <f>SUM(F2:F226)</f>
        <v>854297.27999999991</v>
      </c>
    </row>
    <row r="6" spans="1:11" x14ac:dyDescent="0.3">
      <c r="A6" s="2">
        <v>44199.788888888892</v>
      </c>
      <c r="B6" t="s">
        <v>6</v>
      </c>
      <c r="C6" t="s">
        <v>16</v>
      </c>
      <c r="D6" t="s">
        <v>17</v>
      </c>
      <c r="E6" t="s">
        <v>12</v>
      </c>
      <c r="F6">
        <v>40</v>
      </c>
      <c r="G6">
        <f t="shared" si="0"/>
        <v>0</v>
      </c>
      <c r="H6">
        <f t="shared" si="1"/>
        <v>40</v>
      </c>
      <c r="J6" t="s">
        <v>170</v>
      </c>
      <c r="K6">
        <f>SUM(H2:H226)</f>
        <v>149879.28</v>
      </c>
    </row>
    <row r="7" spans="1:11" x14ac:dyDescent="0.3">
      <c r="A7" s="2">
        <v>44199.826388888891</v>
      </c>
      <c r="B7" t="s">
        <v>6</v>
      </c>
      <c r="C7" t="s">
        <v>10</v>
      </c>
      <c r="D7" t="s">
        <v>18</v>
      </c>
      <c r="E7" t="s">
        <v>12</v>
      </c>
      <c r="F7">
        <v>7777</v>
      </c>
      <c r="G7">
        <f t="shared" si="0"/>
        <v>0</v>
      </c>
      <c r="H7">
        <v>72</v>
      </c>
      <c r="J7" t="s">
        <v>171</v>
      </c>
      <c r="K7">
        <f>K5-K6</f>
        <v>704417.99999999988</v>
      </c>
    </row>
    <row r="8" spans="1:11" x14ac:dyDescent="0.3">
      <c r="A8" s="2">
        <v>44208.583333333336</v>
      </c>
      <c r="B8" t="s">
        <v>6</v>
      </c>
      <c r="C8" t="s">
        <v>10</v>
      </c>
      <c r="D8" t="s">
        <v>19</v>
      </c>
      <c r="E8" t="s">
        <v>12</v>
      </c>
      <c r="F8">
        <v>1460</v>
      </c>
      <c r="G8">
        <f t="shared" si="0"/>
        <v>0</v>
      </c>
      <c r="H8">
        <f t="shared" si="1"/>
        <v>1460</v>
      </c>
    </row>
    <row r="9" spans="1:11" x14ac:dyDescent="0.3">
      <c r="A9" s="2">
        <v>44209.740972222222</v>
      </c>
      <c r="B9" t="s">
        <v>6</v>
      </c>
      <c r="C9" t="s">
        <v>16</v>
      </c>
      <c r="D9" t="s">
        <v>20</v>
      </c>
      <c r="E9" t="s">
        <v>12</v>
      </c>
      <c r="F9">
        <v>43</v>
      </c>
      <c r="G9">
        <f t="shared" si="0"/>
        <v>0</v>
      </c>
      <c r="H9">
        <f t="shared" si="1"/>
        <v>43</v>
      </c>
    </row>
    <row r="10" spans="1:11" x14ac:dyDescent="0.3">
      <c r="A10" s="2">
        <v>44209.865277777775</v>
      </c>
      <c r="B10" t="s">
        <v>6</v>
      </c>
      <c r="C10" t="s">
        <v>10</v>
      </c>
      <c r="D10" t="s">
        <v>18</v>
      </c>
      <c r="E10" t="s">
        <v>12</v>
      </c>
      <c r="F10">
        <v>66</v>
      </c>
      <c r="G10">
        <f t="shared" si="0"/>
        <v>0</v>
      </c>
      <c r="H10">
        <f t="shared" si="1"/>
        <v>66</v>
      </c>
    </row>
    <row r="11" spans="1:11" x14ac:dyDescent="0.3">
      <c r="A11" s="2">
        <v>44210.705555555556</v>
      </c>
      <c r="B11" t="s">
        <v>6</v>
      </c>
      <c r="C11" t="s">
        <v>13</v>
      </c>
      <c r="D11" t="s">
        <v>21</v>
      </c>
      <c r="E11" t="s">
        <v>9</v>
      </c>
      <c r="F11">
        <v>340</v>
      </c>
      <c r="G11">
        <f t="shared" si="0"/>
        <v>340</v>
      </c>
      <c r="H11">
        <f t="shared" si="1"/>
        <v>0</v>
      </c>
      <c r="J11" t="s">
        <v>172</v>
      </c>
      <c r="K11" s="7">
        <f>K7/K5*100</f>
        <v>82.455840196518011</v>
      </c>
    </row>
    <row r="12" spans="1:11" x14ac:dyDescent="0.3">
      <c r="A12" s="2">
        <v>44211.886111111111</v>
      </c>
      <c r="B12" t="s">
        <v>6</v>
      </c>
      <c r="C12" t="s">
        <v>13</v>
      </c>
      <c r="D12" t="s">
        <v>8</v>
      </c>
      <c r="E12" t="s">
        <v>9</v>
      </c>
      <c r="F12">
        <v>88</v>
      </c>
      <c r="G12">
        <f t="shared" si="0"/>
        <v>88</v>
      </c>
      <c r="H12">
        <f t="shared" si="1"/>
        <v>0</v>
      </c>
    </row>
    <row r="13" spans="1:11" x14ac:dyDescent="0.3">
      <c r="A13" s="2">
        <v>44211.886111111111</v>
      </c>
      <c r="B13" t="s">
        <v>6</v>
      </c>
      <c r="C13" t="s">
        <v>10</v>
      </c>
      <c r="D13" t="s">
        <v>11</v>
      </c>
      <c r="E13" t="s">
        <v>12</v>
      </c>
      <c r="F13">
        <v>70</v>
      </c>
      <c r="G13">
        <f t="shared" si="0"/>
        <v>0</v>
      </c>
      <c r="H13">
        <f t="shared" si="1"/>
        <v>70</v>
      </c>
    </row>
    <row r="14" spans="1:11" x14ac:dyDescent="0.3">
      <c r="A14" s="2">
        <v>44213.771527777775</v>
      </c>
      <c r="B14" t="s">
        <v>6</v>
      </c>
      <c r="C14" t="s">
        <v>10</v>
      </c>
      <c r="D14" t="s">
        <v>22</v>
      </c>
      <c r="E14" t="s">
        <v>12</v>
      </c>
      <c r="F14">
        <v>1100</v>
      </c>
      <c r="G14">
        <f t="shared" si="0"/>
        <v>0</v>
      </c>
      <c r="H14">
        <f t="shared" si="1"/>
        <v>1100</v>
      </c>
    </row>
    <row r="15" spans="1:11" x14ac:dyDescent="0.3">
      <c r="A15" s="2">
        <v>44214.57708333333</v>
      </c>
      <c r="B15" t="s">
        <v>6</v>
      </c>
      <c r="C15" t="s">
        <v>10</v>
      </c>
      <c r="D15" t="s">
        <v>19</v>
      </c>
      <c r="E15" t="s">
        <v>12</v>
      </c>
      <c r="F15">
        <v>148</v>
      </c>
      <c r="G15">
        <f t="shared" si="0"/>
        <v>0</v>
      </c>
      <c r="H15">
        <f t="shared" si="1"/>
        <v>148</v>
      </c>
    </row>
    <row r="16" spans="1:11" x14ac:dyDescent="0.3">
      <c r="A16" s="2">
        <v>44214.715277777781</v>
      </c>
      <c r="B16" t="s">
        <v>6</v>
      </c>
      <c r="C16" t="s">
        <v>10</v>
      </c>
      <c r="D16" t="s">
        <v>23</v>
      </c>
      <c r="E16" t="s">
        <v>12</v>
      </c>
      <c r="F16">
        <v>59</v>
      </c>
      <c r="G16">
        <f t="shared" si="0"/>
        <v>0</v>
      </c>
      <c r="H16">
        <f t="shared" si="1"/>
        <v>59</v>
      </c>
    </row>
    <row r="17" spans="1:8" x14ac:dyDescent="0.3">
      <c r="A17" s="2">
        <v>44214.870833333334</v>
      </c>
      <c r="B17" t="s">
        <v>6</v>
      </c>
      <c r="C17" t="s">
        <v>10</v>
      </c>
      <c r="D17" t="s">
        <v>18</v>
      </c>
      <c r="E17" t="s">
        <v>12</v>
      </c>
      <c r="F17">
        <v>301.14999999999998</v>
      </c>
      <c r="G17">
        <f t="shared" si="0"/>
        <v>0</v>
      </c>
      <c r="H17">
        <f t="shared" si="1"/>
        <v>301.14999999999998</v>
      </c>
    </row>
    <row r="18" spans="1:8" x14ac:dyDescent="0.3">
      <c r="A18" s="2">
        <v>44215.602083333331</v>
      </c>
      <c r="B18" t="s">
        <v>6</v>
      </c>
      <c r="C18" t="s">
        <v>10</v>
      </c>
      <c r="D18" t="s">
        <v>24</v>
      </c>
      <c r="E18" t="s">
        <v>12</v>
      </c>
      <c r="F18">
        <v>171</v>
      </c>
      <c r="G18">
        <f t="shared" si="0"/>
        <v>0</v>
      </c>
      <c r="H18">
        <f t="shared" si="1"/>
        <v>171</v>
      </c>
    </row>
    <row r="19" spans="1:8" x14ac:dyDescent="0.3">
      <c r="A19" s="2">
        <v>44217.490972222222</v>
      </c>
      <c r="B19" t="s">
        <v>6</v>
      </c>
      <c r="C19" t="s">
        <v>13</v>
      </c>
      <c r="D19" t="s">
        <v>25</v>
      </c>
      <c r="E19" t="s">
        <v>9</v>
      </c>
      <c r="F19">
        <v>200</v>
      </c>
      <c r="G19">
        <f t="shared" si="0"/>
        <v>200</v>
      </c>
      <c r="H19">
        <f t="shared" si="1"/>
        <v>0</v>
      </c>
    </row>
    <row r="20" spans="1:8" x14ac:dyDescent="0.3">
      <c r="A20" s="2">
        <v>44217.490972222222</v>
      </c>
      <c r="B20" t="s">
        <v>6</v>
      </c>
      <c r="C20" t="s">
        <v>10</v>
      </c>
      <c r="D20" t="s">
        <v>11</v>
      </c>
      <c r="E20" t="s">
        <v>12</v>
      </c>
      <c r="F20">
        <v>37</v>
      </c>
      <c r="G20">
        <f t="shared" si="0"/>
        <v>0</v>
      </c>
      <c r="H20">
        <f t="shared" si="1"/>
        <v>37</v>
      </c>
    </row>
    <row r="21" spans="1:8" x14ac:dyDescent="0.3">
      <c r="A21" s="2">
        <v>44217.598611111112</v>
      </c>
      <c r="B21" t="s">
        <v>6</v>
      </c>
      <c r="C21" t="s">
        <v>10</v>
      </c>
      <c r="D21" t="s">
        <v>19</v>
      </c>
      <c r="E21" t="s">
        <v>12</v>
      </c>
      <c r="F21">
        <v>188</v>
      </c>
      <c r="G21">
        <f t="shared" si="0"/>
        <v>0</v>
      </c>
      <c r="H21">
        <f t="shared" si="1"/>
        <v>188</v>
      </c>
    </row>
    <row r="22" spans="1:8" x14ac:dyDescent="0.3">
      <c r="A22" s="2">
        <v>44219.893750000003</v>
      </c>
      <c r="B22" t="s">
        <v>6</v>
      </c>
      <c r="C22" t="s">
        <v>13</v>
      </c>
      <c r="D22" t="s">
        <v>8</v>
      </c>
      <c r="E22" t="s">
        <v>9</v>
      </c>
      <c r="F22">
        <v>2000</v>
      </c>
      <c r="G22">
        <f t="shared" si="0"/>
        <v>2000</v>
      </c>
      <c r="H22">
        <f t="shared" si="1"/>
        <v>0</v>
      </c>
    </row>
    <row r="23" spans="1:8" x14ac:dyDescent="0.3">
      <c r="A23" s="2">
        <v>44219.893750000003</v>
      </c>
      <c r="B23" t="s">
        <v>6</v>
      </c>
      <c r="C23" t="s">
        <v>10</v>
      </c>
      <c r="D23" t="s">
        <v>26</v>
      </c>
      <c r="E23" t="s">
        <v>12</v>
      </c>
      <c r="F23">
        <v>176</v>
      </c>
      <c r="G23">
        <f t="shared" si="0"/>
        <v>0</v>
      </c>
      <c r="H23">
        <f t="shared" si="1"/>
        <v>176</v>
      </c>
    </row>
    <row r="24" spans="1:8" x14ac:dyDescent="0.3">
      <c r="A24" s="2">
        <v>44219.893750000003</v>
      </c>
      <c r="B24" t="s">
        <v>6</v>
      </c>
      <c r="C24" t="s">
        <v>27</v>
      </c>
      <c r="D24" t="s">
        <v>28</v>
      </c>
      <c r="E24" t="s">
        <v>12</v>
      </c>
      <c r="F24">
        <v>200</v>
      </c>
      <c r="G24">
        <f t="shared" si="0"/>
        <v>0</v>
      </c>
      <c r="H24">
        <f t="shared" si="1"/>
        <v>200</v>
      </c>
    </row>
    <row r="25" spans="1:8" x14ac:dyDescent="0.3">
      <c r="A25" s="2">
        <v>44219.895138888889</v>
      </c>
      <c r="B25" t="s">
        <v>6</v>
      </c>
      <c r="C25" t="s">
        <v>13</v>
      </c>
      <c r="D25" t="s">
        <v>25</v>
      </c>
      <c r="E25" t="s">
        <v>9</v>
      </c>
      <c r="F25">
        <v>310</v>
      </c>
      <c r="G25">
        <f t="shared" si="0"/>
        <v>310</v>
      </c>
      <c r="H25">
        <f t="shared" si="1"/>
        <v>0</v>
      </c>
    </row>
    <row r="26" spans="1:8" x14ac:dyDescent="0.3">
      <c r="A26" s="2">
        <v>44221.432638888888</v>
      </c>
      <c r="B26" t="s">
        <v>6</v>
      </c>
      <c r="C26" t="s">
        <v>10</v>
      </c>
      <c r="D26" t="s">
        <v>29</v>
      </c>
      <c r="E26" t="s">
        <v>12</v>
      </c>
      <c r="F26">
        <v>18</v>
      </c>
      <c r="G26">
        <f t="shared" si="0"/>
        <v>0</v>
      </c>
      <c r="H26">
        <f t="shared" si="1"/>
        <v>18</v>
      </c>
    </row>
    <row r="27" spans="1:8" x14ac:dyDescent="0.3">
      <c r="A27" s="2">
        <v>44222.702777777777</v>
      </c>
      <c r="B27" t="s">
        <v>6</v>
      </c>
      <c r="C27" t="s">
        <v>10</v>
      </c>
      <c r="D27" t="s">
        <v>30</v>
      </c>
      <c r="E27" t="s">
        <v>12</v>
      </c>
      <c r="F27">
        <v>25</v>
      </c>
      <c r="G27">
        <f t="shared" si="0"/>
        <v>0</v>
      </c>
      <c r="H27">
        <f t="shared" si="1"/>
        <v>25</v>
      </c>
    </row>
    <row r="28" spans="1:8" x14ac:dyDescent="0.3">
      <c r="A28" s="2">
        <v>44222.739583333336</v>
      </c>
      <c r="B28" t="s">
        <v>6</v>
      </c>
      <c r="C28" t="s">
        <v>13</v>
      </c>
      <c r="D28" t="s">
        <v>31</v>
      </c>
      <c r="E28" t="s">
        <v>9</v>
      </c>
      <c r="F28">
        <v>125</v>
      </c>
      <c r="G28">
        <f t="shared" si="0"/>
        <v>125</v>
      </c>
      <c r="H28">
        <f t="shared" si="1"/>
        <v>0</v>
      </c>
    </row>
    <row r="29" spans="1:8" x14ac:dyDescent="0.3">
      <c r="A29" s="2">
        <v>44222.739583333336</v>
      </c>
      <c r="B29" t="s">
        <v>6</v>
      </c>
      <c r="C29" t="s">
        <v>10</v>
      </c>
      <c r="D29" t="s">
        <v>11</v>
      </c>
      <c r="E29" t="s">
        <v>12</v>
      </c>
      <c r="F29">
        <v>115</v>
      </c>
      <c r="G29">
        <f t="shared" si="0"/>
        <v>0</v>
      </c>
      <c r="H29">
        <f t="shared" si="1"/>
        <v>115</v>
      </c>
    </row>
    <row r="30" spans="1:8" x14ac:dyDescent="0.3">
      <c r="A30" s="2">
        <v>44223.568055555559</v>
      </c>
      <c r="B30" t="s">
        <v>6</v>
      </c>
      <c r="C30" t="s">
        <v>32</v>
      </c>
      <c r="D30" t="s">
        <v>33</v>
      </c>
      <c r="E30" t="s">
        <v>9</v>
      </c>
      <c r="F30">
        <v>55000</v>
      </c>
      <c r="G30">
        <f t="shared" si="0"/>
        <v>55000</v>
      </c>
      <c r="H30">
        <f t="shared" si="1"/>
        <v>0</v>
      </c>
    </row>
    <row r="31" spans="1:8" x14ac:dyDescent="0.3">
      <c r="A31" s="2">
        <v>44223.568749999999</v>
      </c>
      <c r="B31" t="s">
        <v>6</v>
      </c>
      <c r="C31" t="s">
        <v>10</v>
      </c>
      <c r="D31" t="s">
        <v>34</v>
      </c>
      <c r="E31" t="s">
        <v>12</v>
      </c>
      <c r="F31">
        <v>279</v>
      </c>
      <c r="G31">
        <f t="shared" si="0"/>
        <v>0</v>
      </c>
      <c r="H31">
        <f t="shared" si="1"/>
        <v>279</v>
      </c>
    </row>
    <row r="32" spans="1:8" x14ac:dyDescent="0.3">
      <c r="A32" s="2">
        <v>44223.570138888892</v>
      </c>
      <c r="B32" t="s">
        <v>6</v>
      </c>
      <c r="C32" t="s">
        <v>13</v>
      </c>
      <c r="D32" t="s">
        <v>35</v>
      </c>
      <c r="E32" t="s">
        <v>12</v>
      </c>
      <c r="F32">
        <v>1100</v>
      </c>
      <c r="G32">
        <f t="shared" si="0"/>
        <v>0</v>
      </c>
      <c r="H32">
        <f t="shared" si="1"/>
        <v>1100</v>
      </c>
    </row>
    <row r="33" spans="1:8" x14ac:dyDescent="0.3">
      <c r="A33" s="2">
        <v>44224.599305555559</v>
      </c>
      <c r="B33" t="s">
        <v>6</v>
      </c>
      <c r="C33" t="s">
        <v>10</v>
      </c>
      <c r="D33" t="s">
        <v>19</v>
      </c>
      <c r="E33" t="s">
        <v>12</v>
      </c>
      <c r="F33">
        <v>138</v>
      </c>
      <c r="G33">
        <f t="shared" si="0"/>
        <v>0</v>
      </c>
      <c r="H33">
        <f t="shared" si="1"/>
        <v>138</v>
      </c>
    </row>
    <row r="34" spans="1:8" x14ac:dyDescent="0.3">
      <c r="A34" s="2">
        <v>44224.915277777778</v>
      </c>
      <c r="B34" t="s">
        <v>6</v>
      </c>
      <c r="C34" t="s">
        <v>10</v>
      </c>
      <c r="D34" t="s">
        <v>36</v>
      </c>
      <c r="E34" t="s">
        <v>12</v>
      </c>
      <c r="F34">
        <v>10</v>
      </c>
      <c r="G34">
        <f t="shared" si="0"/>
        <v>0</v>
      </c>
      <c r="H34">
        <f t="shared" si="1"/>
        <v>10</v>
      </c>
    </row>
    <row r="35" spans="1:8" x14ac:dyDescent="0.3">
      <c r="A35" s="2">
        <v>44225.613888888889</v>
      </c>
      <c r="B35" t="s">
        <v>6</v>
      </c>
      <c r="C35" t="s">
        <v>13</v>
      </c>
      <c r="D35" t="s">
        <v>37</v>
      </c>
      <c r="E35" t="s">
        <v>12</v>
      </c>
      <c r="F35">
        <v>100</v>
      </c>
      <c r="G35">
        <f t="shared" si="0"/>
        <v>0</v>
      </c>
      <c r="H35">
        <f t="shared" si="1"/>
        <v>100</v>
      </c>
    </row>
    <row r="36" spans="1:8" x14ac:dyDescent="0.3">
      <c r="A36" s="2">
        <v>44226.519444444442</v>
      </c>
      <c r="B36" t="s">
        <v>6</v>
      </c>
      <c r="C36" t="s">
        <v>10</v>
      </c>
      <c r="D36" t="s">
        <v>38</v>
      </c>
      <c r="E36" t="s">
        <v>12</v>
      </c>
      <c r="F36">
        <v>105</v>
      </c>
      <c r="G36">
        <f t="shared" si="0"/>
        <v>0</v>
      </c>
      <c r="H36">
        <f t="shared" si="1"/>
        <v>105</v>
      </c>
    </row>
    <row r="37" spans="1:8" x14ac:dyDescent="0.3">
      <c r="A37" s="2">
        <v>44226.792361111111</v>
      </c>
      <c r="B37" t="s">
        <v>6</v>
      </c>
      <c r="C37" t="s">
        <v>10</v>
      </c>
      <c r="D37" t="s">
        <v>39</v>
      </c>
      <c r="E37" t="s">
        <v>12</v>
      </c>
      <c r="F37">
        <v>120</v>
      </c>
      <c r="G37">
        <f t="shared" si="0"/>
        <v>0</v>
      </c>
      <c r="H37">
        <f t="shared" si="1"/>
        <v>120</v>
      </c>
    </row>
    <row r="38" spans="1:8" x14ac:dyDescent="0.3">
      <c r="A38" s="2">
        <v>44226.803472222222</v>
      </c>
      <c r="B38" t="s">
        <v>6</v>
      </c>
      <c r="C38" t="s">
        <v>10</v>
      </c>
      <c r="D38" t="s">
        <v>18</v>
      </c>
      <c r="E38" t="s">
        <v>12</v>
      </c>
      <c r="F38">
        <v>155</v>
      </c>
      <c r="G38">
        <f t="shared" si="0"/>
        <v>0</v>
      </c>
      <c r="H38">
        <f t="shared" si="1"/>
        <v>155</v>
      </c>
    </row>
    <row r="39" spans="1:8" x14ac:dyDescent="0.3">
      <c r="A39" s="2">
        <v>44227.352083333331</v>
      </c>
      <c r="B39" t="s">
        <v>6</v>
      </c>
      <c r="C39" t="s">
        <v>13</v>
      </c>
      <c r="D39" t="s">
        <v>40</v>
      </c>
      <c r="E39" t="s">
        <v>12</v>
      </c>
      <c r="F39">
        <v>200</v>
      </c>
      <c r="G39">
        <f t="shared" si="0"/>
        <v>0</v>
      </c>
      <c r="H39">
        <f t="shared" si="1"/>
        <v>200</v>
      </c>
    </row>
    <row r="40" spans="1:8" x14ac:dyDescent="0.3">
      <c r="A40" s="2">
        <v>44228.594444444447</v>
      </c>
      <c r="B40" t="s">
        <v>6</v>
      </c>
      <c r="C40" t="s">
        <v>16</v>
      </c>
      <c r="D40" t="s">
        <v>41</v>
      </c>
      <c r="E40" t="s">
        <v>12</v>
      </c>
      <c r="F40">
        <v>725</v>
      </c>
      <c r="G40">
        <f t="shared" si="0"/>
        <v>0</v>
      </c>
      <c r="H40">
        <f t="shared" si="1"/>
        <v>725</v>
      </c>
    </row>
    <row r="41" spans="1:8" x14ac:dyDescent="0.3">
      <c r="A41" s="2">
        <v>44228.855555555558</v>
      </c>
      <c r="B41" t="s">
        <v>6</v>
      </c>
      <c r="C41" t="s">
        <v>10</v>
      </c>
      <c r="D41" t="s">
        <v>42</v>
      </c>
      <c r="E41" t="s">
        <v>12</v>
      </c>
      <c r="F41">
        <v>200</v>
      </c>
      <c r="G41">
        <f t="shared" si="0"/>
        <v>0</v>
      </c>
      <c r="H41">
        <f t="shared" si="1"/>
        <v>200</v>
      </c>
    </row>
    <row r="42" spans="1:8" x14ac:dyDescent="0.3">
      <c r="A42" s="2">
        <v>44228.856249999997</v>
      </c>
      <c r="B42" t="s">
        <v>6</v>
      </c>
      <c r="C42" t="s">
        <v>13</v>
      </c>
      <c r="D42" t="s">
        <v>43</v>
      </c>
      <c r="E42" t="s">
        <v>12</v>
      </c>
      <c r="F42">
        <v>8</v>
      </c>
      <c r="G42">
        <f t="shared" si="0"/>
        <v>0</v>
      </c>
      <c r="H42">
        <f t="shared" si="1"/>
        <v>8</v>
      </c>
    </row>
    <row r="43" spans="1:8" x14ac:dyDescent="0.3">
      <c r="A43" s="2">
        <v>44229.84375</v>
      </c>
      <c r="B43" t="s">
        <v>6</v>
      </c>
      <c r="C43" t="s">
        <v>10</v>
      </c>
      <c r="D43" t="s">
        <v>44</v>
      </c>
      <c r="E43" t="s">
        <v>12</v>
      </c>
      <c r="F43">
        <v>120</v>
      </c>
      <c r="G43">
        <f t="shared" si="0"/>
        <v>0</v>
      </c>
      <c r="H43">
        <f t="shared" si="1"/>
        <v>120</v>
      </c>
    </row>
    <row r="44" spans="1:8" x14ac:dyDescent="0.3">
      <c r="A44" s="2">
        <v>44230.424305555556</v>
      </c>
      <c r="B44" t="s">
        <v>6</v>
      </c>
      <c r="C44" t="s">
        <v>10</v>
      </c>
      <c r="D44" t="s">
        <v>45</v>
      </c>
      <c r="E44" t="s">
        <v>12</v>
      </c>
      <c r="F44">
        <v>50</v>
      </c>
      <c r="G44">
        <f t="shared" si="0"/>
        <v>0</v>
      </c>
      <c r="H44">
        <f t="shared" si="1"/>
        <v>50</v>
      </c>
    </row>
    <row r="45" spans="1:8" x14ac:dyDescent="0.3">
      <c r="A45" s="2">
        <v>44240.912499999999</v>
      </c>
      <c r="B45" t="s">
        <v>6</v>
      </c>
      <c r="C45" t="s">
        <v>27</v>
      </c>
      <c r="D45" t="s">
        <v>46</v>
      </c>
      <c r="E45" t="s">
        <v>12</v>
      </c>
      <c r="F45">
        <v>100</v>
      </c>
      <c r="G45">
        <f t="shared" si="0"/>
        <v>0</v>
      </c>
      <c r="H45">
        <f t="shared" si="1"/>
        <v>100</v>
      </c>
    </row>
    <row r="46" spans="1:8" x14ac:dyDescent="0.3">
      <c r="A46" s="2">
        <v>44243.706250000003</v>
      </c>
      <c r="B46" t="s">
        <v>6</v>
      </c>
      <c r="C46" t="s">
        <v>10</v>
      </c>
      <c r="D46" t="s">
        <v>47</v>
      </c>
      <c r="E46" t="s">
        <v>12</v>
      </c>
      <c r="F46">
        <v>475</v>
      </c>
      <c r="G46">
        <f t="shared" si="0"/>
        <v>0</v>
      </c>
      <c r="H46">
        <f t="shared" si="1"/>
        <v>475</v>
      </c>
    </row>
    <row r="47" spans="1:8" x14ac:dyDescent="0.3">
      <c r="A47" s="2">
        <v>44243.706250000003</v>
      </c>
      <c r="B47" t="s">
        <v>6</v>
      </c>
      <c r="C47" t="s">
        <v>10</v>
      </c>
      <c r="D47" t="s">
        <v>48</v>
      </c>
      <c r="E47" t="s">
        <v>12</v>
      </c>
      <c r="F47">
        <v>165</v>
      </c>
      <c r="G47">
        <f t="shared" si="0"/>
        <v>0</v>
      </c>
      <c r="H47">
        <f t="shared" si="1"/>
        <v>165</v>
      </c>
    </row>
    <row r="48" spans="1:8" x14ac:dyDescent="0.3">
      <c r="A48" s="2">
        <v>44244.549305555556</v>
      </c>
      <c r="B48" t="s">
        <v>6</v>
      </c>
      <c r="C48" t="s">
        <v>10</v>
      </c>
      <c r="D48" t="s">
        <v>49</v>
      </c>
      <c r="E48" t="s">
        <v>12</v>
      </c>
      <c r="F48">
        <v>80</v>
      </c>
      <c r="G48">
        <f t="shared" si="0"/>
        <v>0</v>
      </c>
      <c r="H48">
        <f t="shared" si="1"/>
        <v>80</v>
      </c>
    </row>
    <row r="49" spans="1:8" x14ac:dyDescent="0.3">
      <c r="A49" s="2">
        <v>44245.959027777775</v>
      </c>
      <c r="B49" t="s">
        <v>6</v>
      </c>
      <c r="C49" t="s">
        <v>10</v>
      </c>
      <c r="D49" t="s">
        <v>50</v>
      </c>
      <c r="E49" t="s">
        <v>12</v>
      </c>
      <c r="F49">
        <v>348</v>
      </c>
      <c r="G49">
        <f t="shared" si="0"/>
        <v>0</v>
      </c>
      <c r="H49">
        <f t="shared" si="1"/>
        <v>348</v>
      </c>
    </row>
    <row r="50" spans="1:8" x14ac:dyDescent="0.3">
      <c r="A50" s="2">
        <v>44246.262499999997</v>
      </c>
      <c r="B50" t="s">
        <v>6</v>
      </c>
      <c r="C50" t="s">
        <v>16</v>
      </c>
      <c r="D50" t="s">
        <v>51</v>
      </c>
      <c r="E50" t="s">
        <v>12</v>
      </c>
      <c r="F50">
        <v>2709</v>
      </c>
      <c r="G50">
        <f t="shared" si="0"/>
        <v>0</v>
      </c>
      <c r="H50">
        <f t="shared" si="1"/>
        <v>2709</v>
      </c>
    </row>
    <row r="51" spans="1:8" x14ac:dyDescent="0.3">
      <c r="A51" s="2">
        <v>44246.268750000003</v>
      </c>
      <c r="B51" t="s">
        <v>6</v>
      </c>
      <c r="C51" t="s">
        <v>13</v>
      </c>
      <c r="D51" t="s">
        <v>52</v>
      </c>
      <c r="E51" t="s">
        <v>12</v>
      </c>
      <c r="F51">
        <v>50</v>
      </c>
      <c r="G51">
        <f t="shared" si="0"/>
        <v>0</v>
      </c>
      <c r="H51">
        <f t="shared" si="1"/>
        <v>50</v>
      </c>
    </row>
    <row r="52" spans="1:8" x14ac:dyDescent="0.3">
      <c r="A52" s="2">
        <v>44246.351388888892</v>
      </c>
      <c r="B52" t="s">
        <v>6</v>
      </c>
      <c r="C52" t="s">
        <v>16</v>
      </c>
      <c r="D52" t="s">
        <v>17</v>
      </c>
      <c r="E52" t="s">
        <v>12</v>
      </c>
      <c r="F52">
        <v>60</v>
      </c>
      <c r="G52">
        <f t="shared" si="0"/>
        <v>0</v>
      </c>
      <c r="H52">
        <f t="shared" si="1"/>
        <v>60</v>
      </c>
    </row>
    <row r="53" spans="1:8" x14ac:dyDescent="0.3">
      <c r="A53" s="2">
        <v>44246.899305555555</v>
      </c>
      <c r="B53" t="s">
        <v>6</v>
      </c>
      <c r="C53" t="s">
        <v>16</v>
      </c>
      <c r="D53" t="s">
        <v>53</v>
      </c>
      <c r="E53" t="s">
        <v>12</v>
      </c>
      <c r="F53">
        <v>1575</v>
      </c>
      <c r="G53">
        <f t="shared" si="0"/>
        <v>0</v>
      </c>
      <c r="H53">
        <f t="shared" si="1"/>
        <v>1575</v>
      </c>
    </row>
    <row r="54" spans="1:8" x14ac:dyDescent="0.3">
      <c r="A54" s="2">
        <v>44246.914583333331</v>
      </c>
      <c r="B54" t="s">
        <v>6</v>
      </c>
      <c r="C54" t="s">
        <v>10</v>
      </c>
      <c r="D54" t="s">
        <v>11</v>
      </c>
      <c r="E54" t="s">
        <v>12</v>
      </c>
      <c r="F54">
        <v>250</v>
      </c>
      <c r="G54">
        <f t="shared" si="0"/>
        <v>0</v>
      </c>
      <c r="H54">
        <f t="shared" si="1"/>
        <v>250</v>
      </c>
    </row>
    <row r="55" spans="1:8" x14ac:dyDescent="0.3">
      <c r="A55" s="2">
        <v>44246.960416666669</v>
      </c>
      <c r="B55" t="s">
        <v>6</v>
      </c>
      <c r="C55" t="s">
        <v>10</v>
      </c>
      <c r="D55" t="s">
        <v>54</v>
      </c>
      <c r="E55" t="s">
        <v>12</v>
      </c>
      <c r="F55">
        <v>111</v>
      </c>
      <c r="G55">
        <f t="shared" si="0"/>
        <v>0</v>
      </c>
      <c r="H55">
        <f t="shared" si="1"/>
        <v>111</v>
      </c>
    </row>
    <row r="56" spans="1:8" x14ac:dyDescent="0.3">
      <c r="A56" s="2">
        <v>44247.64166666667</v>
      </c>
      <c r="B56" t="s">
        <v>6</v>
      </c>
      <c r="C56" t="s">
        <v>10</v>
      </c>
      <c r="D56" t="s">
        <v>49</v>
      </c>
      <c r="E56" t="s">
        <v>12</v>
      </c>
      <c r="F56">
        <v>200</v>
      </c>
      <c r="G56">
        <f t="shared" si="0"/>
        <v>0</v>
      </c>
      <c r="H56">
        <f t="shared" si="1"/>
        <v>200</v>
      </c>
    </row>
    <row r="57" spans="1:8" x14ac:dyDescent="0.3">
      <c r="A57" s="2">
        <v>44248.651388888888</v>
      </c>
      <c r="B57" t="s">
        <v>6</v>
      </c>
      <c r="C57" t="s">
        <v>16</v>
      </c>
      <c r="D57" t="s">
        <v>55</v>
      </c>
      <c r="E57" t="s">
        <v>12</v>
      </c>
      <c r="F57">
        <v>201.8</v>
      </c>
      <c r="G57">
        <f t="shared" si="0"/>
        <v>0</v>
      </c>
      <c r="H57">
        <f t="shared" si="1"/>
        <v>201.8</v>
      </c>
    </row>
    <row r="58" spans="1:8" x14ac:dyDescent="0.3">
      <c r="A58" s="2">
        <v>44248.652777777781</v>
      </c>
      <c r="B58" t="s">
        <v>6</v>
      </c>
      <c r="C58" t="s">
        <v>14</v>
      </c>
      <c r="D58" t="s">
        <v>15</v>
      </c>
      <c r="E58" t="s">
        <v>12</v>
      </c>
      <c r="F58">
        <v>3336</v>
      </c>
      <c r="G58">
        <f t="shared" si="0"/>
        <v>0</v>
      </c>
      <c r="H58">
        <f t="shared" si="1"/>
        <v>3336</v>
      </c>
    </row>
    <row r="59" spans="1:8" x14ac:dyDescent="0.3">
      <c r="A59" s="2">
        <v>44248.927083333336</v>
      </c>
      <c r="B59" t="s">
        <v>6</v>
      </c>
      <c r="C59" t="s">
        <v>16</v>
      </c>
      <c r="D59" t="s">
        <v>56</v>
      </c>
      <c r="E59" t="s">
        <v>12</v>
      </c>
      <c r="F59">
        <v>1300</v>
      </c>
      <c r="G59">
        <f t="shared" si="0"/>
        <v>0</v>
      </c>
      <c r="H59">
        <f t="shared" si="1"/>
        <v>1300</v>
      </c>
    </row>
    <row r="60" spans="1:8" x14ac:dyDescent="0.3">
      <c r="A60" s="2">
        <v>44250.67083333333</v>
      </c>
      <c r="B60" t="s">
        <v>6</v>
      </c>
      <c r="C60" t="s">
        <v>10</v>
      </c>
      <c r="D60" t="s">
        <v>57</v>
      </c>
      <c r="E60" t="s">
        <v>12</v>
      </c>
      <c r="F60">
        <v>83</v>
      </c>
      <c r="G60">
        <f t="shared" si="0"/>
        <v>0</v>
      </c>
      <c r="H60">
        <f t="shared" si="1"/>
        <v>83</v>
      </c>
    </row>
    <row r="61" spans="1:8" x14ac:dyDescent="0.3">
      <c r="A61" s="2">
        <v>44250.732638888891</v>
      </c>
      <c r="B61" t="s">
        <v>6</v>
      </c>
      <c r="C61" t="s">
        <v>58</v>
      </c>
      <c r="D61" t="s">
        <v>59</v>
      </c>
      <c r="E61" t="s">
        <v>12</v>
      </c>
      <c r="F61">
        <v>3999</v>
      </c>
      <c r="G61">
        <f t="shared" si="0"/>
        <v>0</v>
      </c>
      <c r="H61">
        <f t="shared" si="1"/>
        <v>3999</v>
      </c>
    </row>
    <row r="62" spans="1:8" x14ac:dyDescent="0.3">
      <c r="A62" s="2">
        <v>44251.931250000001</v>
      </c>
      <c r="B62" t="s">
        <v>6</v>
      </c>
      <c r="C62" t="s">
        <v>10</v>
      </c>
      <c r="D62" t="s">
        <v>60</v>
      </c>
      <c r="E62" t="s">
        <v>12</v>
      </c>
      <c r="F62">
        <v>289</v>
      </c>
      <c r="G62">
        <f t="shared" si="0"/>
        <v>0</v>
      </c>
      <c r="H62">
        <f t="shared" si="1"/>
        <v>289</v>
      </c>
    </row>
    <row r="63" spans="1:8" x14ac:dyDescent="0.3">
      <c r="A63" s="2">
        <v>44253.068749999999</v>
      </c>
      <c r="B63" t="s">
        <v>6</v>
      </c>
      <c r="C63" t="s">
        <v>10</v>
      </c>
      <c r="D63" t="s">
        <v>61</v>
      </c>
      <c r="E63" t="s">
        <v>12</v>
      </c>
      <c r="F63">
        <v>84</v>
      </c>
      <c r="G63">
        <f t="shared" si="0"/>
        <v>0</v>
      </c>
      <c r="H63">
        <f t="shared" si="1"/>
        <v>84</v>
      </c>
    </row>
    <row r="64" spans="1:8" x14ac:dyDescent="0.3">
      <c r="A64" s="2">
        <v>44253.734027777777</v>
      </c>
      <c r="B64" t="s">
        <v>6</v>
      </c>
      <c r="C64" t="s">
        <v>13</v>
      </c>
      <c r="D64" t="s">
        <v>62</v>
      </c>
      <c r="E64" t="s">
        <v>12</v>
      </c>
      <c r="F64">
        <v>100</v>
      </c>
      <c r="G64">
        <f t="shared" si="0"/>
        <v>0</v>
      </c>
      <c r="H64">
        <f t="shared" si="1"/>
        <v>100</v>
      </c>
    </row>
    <row r="65" spans="1:8" x14ac:dyDescent="0.3">
      <c r="A65" s="2">
        <v>44254.645138888889</v>
      </c>
      <c r="B65" t="s">
        <v>6</v>
      </c>
      <c r="C65" t="s">
        <v>10</v>
      </c>
      <c r="D65" t="s">
        <v>49</v>
      </c>
      <c r="E65" t="s">
        <v>12</v>
      </c>
      <c r="F65">
        <v>243</v>
      </c>
      <c r="G65">
        <f t="shared" si="0"/>
        <v>0</v>
      </c>
      <c r="H65">
        <f t="shared" si="1"/>
        <v>243</v>
      </c>
    </row>
    <row r="66" spans="1:8" x14ac:dyDescent="0.3">
      <c r="A66" s="2">
        <v>44255.489583333336</v>
      </c>
      <c r="B66" t="s">
        <v>6</v>
      </c>
      <c r="C66" t="s">
        <v>32</v>
      </c>
      <c r="D66" t="s">
        <v>33</v>
      </c>
      <c r="E66" t="s">
        <v>9</v>
      </c>
      <c r="F66">
        <v>55000</v>
      </c>
      <c r="G66">
        <f t="shared" si="0"/>
        <v>55000</v>
      </c>
      <c r="H66">
        <f t="shared" si="1"/>
        <v>0</v>
      </c>
    </row>
    <row r="67" spans="1:8" x14ac:dyDescent="0.3">
      <c r="A67" s="2">
        <v>44255.49722222222</v>
      </c>
      <c r="B67" t="s">
        <v>6</v>
      </c>
      <c r="C67" t="s">
        <v>10</v>
      </c>
      <c r="D67" t="s">
        <v>63</v>
      </c>
      <c r="E67" t="s">
        <v>12</v>
      </c>
      <c r="F67">
        <v>339.15</v>
      </c>
      <c r="G67">
        <f t="shared" ref="G67:G130" si="2">IF(E67="income",F67,0)</f>
        <v>0</v>
      </c>
      <c r="H67">
        <f t="shared" ref="H67:H130" si="3">IF(E67="expense",F67,0)</f>
        <v>339.15</v>
      </c>
    </row>
    <row r="68" spans="1:8" x14ac:dyDescent="0.3">
      <c r="A68" s="2">
        <v>44256.604166666664</v>
      </c>
      <c r="B68" t="s">
        <v>6</v>
      </c>
      <c r="C68" t="s">
        <v>13</v>
      </c>
      <c r="D68" t="s">
        <v>64</v>
      </c>
      <c r="E68" t="s">
        <v>9</v>
      </c>
      <c r="F68">
        <v>300</v>
      </c>
      <c r="G68">
        <f t="shared" si="2"/>
        <v>300</v>
      </c>
      <c r="H68">
        <f t="shared" si="3"/>
        <v>0</v>
      </c>
    </row>
    <row r="69" spans="1:8" x14ac:dyDescent="0.3">
      <c r="A69" s="2">
        <v>44256.604861111111</v>
      </c>
      <c r="B69" t="s">
        <v>6</v>
      </c>
      <c r="C69" t="s">
        <v>10</v>
      </c>
      <c r="D69" t="s">
        <v>65</v>
      </c>
      <c r="E69" t="s">
        <v>12</v>
      </c>
      <c r="F69">
        <v>300</v>
      </c>
      <c r="G69">
        <f t="shared" si="2"/>
        <v>0</v>
      </c>
      <c r="H69">
        <f t="shared" si="3"/>
        <v>300</v>
      </c>
    </row>
    <row r="70" spans="1:8" x14ac:dyDescent="0.3">
      <c r="A70" s="2">
        <v>44256.882638888892</v>
      </c>
      <c r="B70" t="s">
        <v>6</v>
      </c>
      <c r="C70" t="s">
        <v>13</v>
      </c>
      <c r="D70" t="s">
        <v>66</v>
      </c>
      <c r="E70" t="s">
        <v>9</v>
      </c>
      <c r="F70">
        <v>1140</v>
      </c>
      <c r="G70">
        <f t="shared" si="2"/>
        <v>1140</v>
      </c>
      <c r="H70">
        <f t="shared" si="3"/>
        <v>0</v>
      </c>
    </row>
    <row r="71" spans="1:8" x14ac:dyDescent="0.3">
      <c r="A71" s="2">
        <v>44256.912499999999</v>
      </c>
      <c r="B71" t="s">
        <v>6</v>
      </c>
      <c r="C71" t="s">
        <v>13</v>
      </c>
      <c r="D71" t="s">
        <v>67</v>
      </c>
      <c r="E71" t="s">
        <v>9</v>
      </c>
      <c r="F71">
        <v>201</v>
      </c>
      <c r="G71">
        <f t="shared" si="2"/>
        <v>201</v>
      </c>
      <c r="H71">
        <f t="shared" si="3"/>
        <v>0</v>
      </c>
    </row>
    <row r="72" spans="1:8" x14ac:dyDescent="0.3">
      <c r="A72" s="2">
        <v>44256.927083333336</v>
      </c>
      <c r="B72" t="s">
        <v>6</v>
      </c>
      <c r="C72" t="s">
        <v>10</v>
      </c>
      <c r="D72" t="s">
        <v>68</v>
      </c>
      <c r="E72" t="s">
        <v>12</v>
      </c>
      <c r="F72">
        <v>10</v>
      </c>
      <c r="G72">
        <f t="shared" si="2"/>
        <v>0</v>
      </c>
      <c r="H72">
        <f t="shared" si="3"/>
        <v>10</v>
      </c>
    </row>
    <row r="73" spans="1:8" x14ac:dyDescent="0.3">
      <c r="A73" s="2">
        <v>44257.374305555553</v>
      </c>
      <c r="B73" t="s">
        <v>6</v>
      </c>
      <c r="C73" t="s">
        <v>13</v>
      </c>
      <c r="D73" t="s">
        <v>69</v>
      </c>
      <c r="E73" t="s">
        <v>12</v>
      </c>
      <c r="F73">
        <v>150</v>
      </c>
      <c r="G73">
        <f t="shared" si="2"/>
        <v>0</v>
      </c>
      <c r="H73">
        <f t="shared" si="3"/>
        <v>150</v>
      </c>
    </row>
    <row r="74" spans="1:8" x14ac:dyDescent="0.3">
      <c r="A74" s="2">
        <v>44257.620138888888</v>
      </c>
      <c r="B74" t="s">
        <v>6</v>
      </c>
      <c r="C74" t="s">
        <v>10</v>
      </c>
      <c r="D74" t="s">
        <v>70</v>
      </c>
      <c r="E74" t="s">
        <v>12</v>
      </c>
      <c r="F74">
        <v>50</v>
      </c>
      <c r="G74">
        <f t="shared" si="2"/>
        <v>0</v>
      </c>
      <c r="H74">
        <f t="shared" si="3"/>
        <v>50</v>
      </c>
    </row>
    <row r="75" spans="1:8" x14ac:dyDescent="0.3">
      <c r="A75" s="2">
        <v>44270.886805555558</v>
      </c>
      <c r="B75" t="s">
        <v>6</v>
      </c>
      <c r="C75" t="s">
        <v>16</v>
      </c>
      <c r="D75" t="s">
        <v>71</v>
      </c>
      <c r="E75" t="s">
        <v>12</v>
      </c>
      <c r="F75">
        <v>1365</v>
      </c>
      <c r="G75">
        <f t="shared" si="2"/>
        <v>0</v>
      </c>
      <c r="H75">
        <f t="shared" si="3"/>
        <v>1365</v>
      </c>
    </row>
    <row r="76" spans="1:8" x14ac:dyDescent="0.3">
      <c r="A76" s="2">
        <v>44276.883333333331</v>
      </c>
      <c r="B76" t="s">
        <v>6</v>
      </c>
      <c r="C76" t="s">
        <v>32</v>
      </c>
      <c r="D76" t="s">
        <v>33</v>
      </c>
      <c r="E76" t="s">
        <v>9</v>
      </c>
      <c r="F76">
        <v>55000</v>
      </c>
      <c r="G76">
        <f t="shared" si="2"/>
        <v>55000</v>
      </c>
      <c r="H76">
        <f t="shared" si="3"/>
        <v>0</v>
      </c>
    </row>
    <row r="77" spans="1:8" x14ac:dyDescent="0.3">
      <c r="A77" s="2">
        <v>44277.272916666669</v>
      </c>
      <c r="B77" t="s">
        <v>6</v>
      </c>
      <c r="C77" t="s">
        <v>14</v>
      </c>
      <c r="D77" t="s">
        <v>15</v>
      </c>
      <c r="E77" t="s">
        <v>12</v>
      </c>
      <c r="F77">
        <v>5120</v>
      </c>
      <c r="G77">
        <f t="shared" si="2"/>
        <v>0</v>
      </c>
      <c r="H77">
        <f t="shared" si="3"/>
        <v>5120</v>
      </c>
    </row>
    <row r="78" spans="1:8" x14ac:dyDescent="0.3">
      <c r="A78" s="2">
        <v>44278.526388888888</v>
      </c>
      <c r="B78" t="s">
        <v>6</v>
      </c>
      <c r="C78" t="s">
        <v>58</v>
      </c>
      <c r="D78" t="s">
        <v>72</v>
      </c>
      <c r="E78" t="s">
        <v>12</v>
      </c>
      <c r="F78">
        <v>3997</v>
      </c>
      <c r="G78">
        <f t="shared" si="2"/>
        <v>0</v>
      </c>
      <c r="H78">
        <f t="shared" si="3"/>
        <v>3997</v>
      </c>
    </row>
    <row r="79" spans="1:8" x14ac:dyDescent="0.3">
      <c r="A79" s="2">
        <v>44286.351388888892</v>
      </c>
      <c r="B79" t="s">
        <v>6</v>
      </c>
      <c r="C79" t="s">
        <v>16</v>
      </c>
      <c r="D79" t="s">
        <v>73</v>
      </c>
      <c r="E79" t="s">
        <v>12</v>
      </c>
      <c r="F79">
        <v>153</v>
      </c>
      <c r="G79">
        <f t="shared" si="2"/>
        <v>0</v>
      </c>
      <c r="H79">
        <f t="shared" si="3"/>
        <v>153</v>
      </c>
    </row>
    <row r="80" spans="1:8" x14ac:dyDescent="0.3">
      <c r="A80" s="2">
        <v>44287.331944444442</v>
      </c>
      <c r="B80" t="s">
        <v>6</v>
      </c>
      <c r="C80" t="s">
        <v>10</v>
      </c>
      <c r="D80" t="s">
        <v>74</v>
      </c>
      <c r="E80" t="s">
        <v>12</v>
      </c>
      <c r="F80">
        <v>107</v>
      </c>
      <c r="G80">
        <f t="shared" si="2"/>
        <v>0</v>
      </c>
      <c r="H80">
        <f t="shared" si="3"/>
        <v>107</v>
      </c>
    </row>
    <row r="81" spans="1:8" x14ac:dyDescent="0.3">
      <c r="A81" s="2">
        <v>44287.334027777775</v>
      </c>
      <c r="B81" t="s">
        <v>6</v>
      </c>
      <c r="C81" t="s">
        <v>13</v>
      </c>
      <c r="D81" t="s">
        <v>40</v>
      </c>
      <c r="E81" t="s">
        <v>12</v>
      </c>
      <c r="F81">
        <v>80</v>
      </c>
      <c r="G81">
        <f t="shared" si="2"/>
        <v>0</v>
      </c>
      <c r="H81">
        <f t="shared" si="3"/>
        <v>80</v>
      </c>
    </row>
    <row r="82" spans="1:8" x14ac:dyDescent="0.3">
      <c r="A82" s="2">
        <v>44287.578472222223</v>
      </c>
      <c r="B82" t="s">
        <v>6</v>
      </c>
      <c r="C82" t="s">
        <v>10</v>
      </c>
      <c r="D82" t="s">
        <v>19</v>
      </c>
      <c r="E82" t="s">
        <v>12</v>
      </c>
      <c r="F82">
        <v>106</v>
      </c>
      <c r="G82">
        <f t="shared" si="2"/>
        <v>0</v>
      </c>
      <c r="H82">
        <f t="shared" si="3"/>
        <v>106</v>
      </c>
    </row>
    <row r="83" spans="1:8" x14ac:dyDescent="0.3">
      <c r="A83" s="2">
        <v>44287.924305555556</v>
      </c>
      <c r="B83" t="s">
        <v>6</v>
      </c>
      <c r="C83" t="s">
        <v>75</v>
      </c>
      <c r="D83" t="s">
        <v>76</v>
      </c>
      <c r="E83" t="s">
        <v>12</v>
      </c>
      <c r="F83">
        <v>14000</v>
      </c>
      <c r="G83">
        <f t="shared" si="2"/>
        <v>0</v>
      </c>
      <c r="H83">
        <f t="shared" si="3"/>
        <v>14000</v>
      </c>
    </row>
    <row r="84" spans="1:8" x14ac:dyDescent="0.3">
      <c r="A84" s="2">
        <v>44289.424305555556</v>
      </c>
      <c r="B84" t="s">
        <v>6</v>
      </c>
      <c r="C84" t="s">
        <v>13</v>
      </c>
      <c r="D84" t="s">
        <v>77</v>
      </c>
      <c r="E84" t="s">
        <v>12</v>
      </c>
      <c r="F84">
        <v>300</v>
      </c>
      <c r="G84">
        <f t="shared" si="2"/>
        <v>0</v>
      </c>
      <c r="H84">
        <f t="shared" si="3"/>
        <v>300</v>
      </c>
    </row>
    <row r="85" spans="1:8" x14ac:dyDescent="0.3">
      <c r="A85" s="2">
        <v>44305.864583333336</v>
      </c>
      <c r="B85" t="s">
        <v>6</v>
      </c>
      <c r="C85" t="s">
        <v>16</v>
      </c>
      <c r="D85" t="s">
        <v>78</v>
      </c>
      <c r="E85" t="s">
        <v>12</v>
      </c>
      <c r="F85">
        <v>200</v>
      </c>
      <c r="G85">
        <f t="shared" si="2"/>
        <v>0</v>
      </c>
      <c r="H85">
        <f t="shared" si="3"/>
        <v>200</v>
      </c>
    </row>
    <row r="86" spans="1:8" x14ac:dyDescent="0.3">
      <c r="A86" s="2">
        <v>44305.864583333336</v>
      </c>
      <c r="B86" t="s">
        <v>6</v>
      </c>
      <c r="C86" t="s">
        <v>10</v>
      </c>
      <c r="D86" t="s">
        <v>79</v>
      </c>
      <c r="E86" t="s">
        <v>12</v>
      </c>
      <c r="F86">
        <v>380</v>
      </c>
      <c r="G86">
        <f t="shared" si="2"/>
        <v>0</v>
      </c>
      <c r="H86">
        <f t="shared" si="3"/>
        <v>380</v>
      </c>
    </row>
    <row r="87" spans="1:8" x14ac:dyDescent="0.3">
      <c r="A87" s="2">
        <v>44307.923611111109</v>
      </c>
      <c r="B87" t="s">
        <v>6</v>
      </c>
      <c r="C87" t="s">
        <v>80</v>
      </c>
      <c r="D87" t="s">
        <v>33</v>
      </c>
      <c r="E87" t="s">
        <v>9</v>
      </c>
      <c r="F87">
        <v>55000</v>
      </c>
      <c r="G87">
        <f t="shared" si="2"/>
        <v>55000</v>
      </c>
      <c r="H87">
        <f t="shared" si="3"/>
        <v>0</v>
      </c>
    </row>
    <row r="88" spans="1:8" x14ac:dyDescent="0.3">
      <c r="A88" s="2">
        <v>44308.272916666669</v>
      </c>
      <c r="B88" t="s">
        <v>6</v>
      </c>
      <c r="C88" t="s">
        <v>14</v>
      </c>
      <c r="D88" t="s">
        <v>15</v>
      </c>
      <c r="E88" t="s">
        <v>12</v>
      </c>
      <c r="F88">
        <v>5180</v>
      </c>
      <c r="G88">
        <f t="shared" si="2"/>
        <v>0</v>
      </c>
      <c r="H88">
        <f t="shared" si="3"/>
        <v>5180</v>
      </c>
    </row>
    <row r="89" spans="1:8" x14ac:dyDescent="0.3">
      <c r="A89" s="2">
        <v>44308.852777777778</v>
      </c>
      <c r="B89" t="s">
        <v>6</v>
      </c>
      <c r="C89" t="s">
        <v>10</v>
      </c>
      <c r="D89" t="s">
        <v>81</v>
      </c>
      <c r="E89" t="s">
        <v>12</v>
      </c>
      <c r="F89">
        <v>80</v>
      </c>
      <c r="G89">
        <f t="shared" si="2"/>
        <v>0</v>
      </c>
      <c r="H89">
        <f t="shared" si="3"/>
        <v>80</v>
      </c>
    </row>
    <row r="90" spans="1:8" x14ac:dyDescent="0.3">
      <c r="A90" s="2">
        <v>44311.865277777775</v>
      </c>
      <c r="B90" t="s">
        <v>6</v>
      </c>
      <c r="C90" t="s">
        <v>16</v>
      </c>
      <c r="D90" t="s">
        <v>82</v>
      </c>
      <c r="E90" t="s">
        <v>12</v>
      </c>
      <c r="F90">
        <v>306</v>
      </c>
      <c r="G90">
        <f t="shared" si="2"/>
        <v>0</v>
      </c>
      <c r="H90">
        <f t="shared" si="3"/>
        <v>306</v>
      </c>
    </row>
    <row r="91" spans="1:8" x14ac:dyDescent="0.3">
      <c r="A91" s="2">
        <v>44317.604166666664</v>
      </c>
      <c r="B91" t="s">
        <v>6</v>
      </c>
      <c r="C91" t="s">
        <v>10</v>
      </c>
      <c r="D91" t="s">
        <v>19</v>
      </c>
      <c r="E91" t="s">
        <v>12</v>
      </c>
      <c r="F91">
        <v>388</v>
      </c>
      <c r="G91">
        <f t="shared" si="2"/>
        <v>0</v>
      </c>
      <c r="H91">
        <f t="shared" si="3"/>
        <v>388</v>
      </c>
    </row>
    <row r="92" spans="1:8" x14ac:dyDescent="0.3">
      <c r="A92" s="2">
        <v>44317.607638888891</v>
      </c>
      <c r="B92" t="s">
        <v>6</v>
      </c>
      <c r="C92" t="s">
        <v>16</v>
      </c>
      <c r="D92" t="s">
        <v>83</v>
      </c>
      <c r="E92" t="s">
        <v>12</v>
      </c>
      <c r="F92">
        <v>600</v>
      </c>
      <c r="G92">
        <f t="shared" si="2"/>
        <v>0</v>
      </c>
      <c r="H92">
        <f t="shared" si="3"/>
        <v>600</v>
      </c>
    </row>
    <row r="93" spans="1:8" x14ac:dyDescent="0.3">
      <c r="A93" s="2">
        <v>44317.609027777777</v>
      </c>
      <c r="B93" t="s">
        <v>6</v>
      </c>
      <c r="C93" t="s">
        <v>13</v>
      </c>
      <c r="D93" t="s">
        <v>84</v>
      </c>
      <c r="E93" t="s">
        <v>12</v>
      </c>
      <c r="F93">
        <v>500</v>
      </c>
      <c r="G93">
        <f t="shared" si="2"/>
        <v>0</v>
      </c>
      <c r="H93">
        <f t="shared" si="3"/>
        <v>500</v>
      </c>
    </row>
    <row r="94" spans="1:8" x14ac:dyDescent="0.3">
      <c r="A94" s="2">
        <v>44317.61041666667</v>
      </c>
      <c r="B94" t="s">
        <v>6</v>
      </c>
      <c r="C94" t="s">
        <v>13</v>
      </c>
      <c r="D94" t="s">
        <v>85</v>
      </c>
      <c r="E94" t="s">
        <v>12</v>
      </c>
      <c r="F94">
        <v>500</v>
      </c>
      <c r="G94">
        <f t="shared" si="2"/>
        <v>0</v>
      </c>
      <c r="H94">
        <f t="shared" si="3"/>
        <v>500</v>
      </c>
    </row>
    <row r="95" spans="1:8" x14ac:dyDescent="0.3">
      <c r="A95" s="2">
        <v>44317.612500000003</v>
      </c>
      <c r="B95" t="s">
        <v>6</v>
      </c>
      <c r="C95" t="s">
        <v>13</v>
      </c>
      <c r="D95" t="s">
        <v>86</v>
      </c>
      <c r="E95" t="s">
        <v>12</v>
      </c>
      <c r="F95">
        <v>30</v>
      </c>
      <c r="G95">
        <f t="shared" si="2"/>
        <v>0</v>
      </c>
      <c r="H95">
        <f t="shared" si="3"/>
        <v>30</v>
      </c>
    </row>
    <row r="96" spans="1:8" x14ac:dyDescent="0.3">
      <c r="A96" s="2">
        <v>44317.612500000003</v>
      </c>
      <c r="B96" t="s">
        <v>6</v>
      </c>
      <c r="C96" t="s">
        <v>10</v>
      </c>
      <c r="D96" t="s">
        <v>87</v>
      </c>
      <c r="E96" t="s">
        <v>12</v>
      </c>
      <c r="F96">
        <v>354</v>
      </c>
      <c r="G96">
        <f t="shared" si="2"/>
        <v>0</v>
      </c>
      <c r="H96">
        <f t="shared" si="3"/>
        <v>354</v>
      </c>
    </row>
    <row r="97" spans="1:8" x14ac:dyDescent="0.3">
      <c r="A97" s="2">
        <v>44317.615277777775</v>
      </c>
      <c r="B97" t="s">
        <v>6</v>
      </c>
      <c r="C97" t="s">
        <v>13</v>
      </c>
      <c r="D97" t="s">
        <v>88</v>
      </c>
      <c r="E97" t="s">
        <v>12</v>
      </c>
      <c r="F97">
        <v>40</v>
      </c>
      <c r="G97">
        <f t="shared" si="2"/>
        <v>0</v>
      </c>
      <c r="H97">
        <f t="shared" si="3"/>
        <v>40</v>
      </c>
    </row>
    <row r="98" spans="1:8" x14ac:dyDescent="0.3">
      <c r="A98" s="2">
        <v>44334.82708333333</v>
      </c>
      <c r="B98" t="s">
        <v>6</v>
      </c>
      <c r="C98" t="s">
        <v>27</v>
      </c>
      <c r="D98" t="s">
        <v>89</v>
      </c>
      <c r="E98" t="s">
        <v>12</v>
      </c>
      <c r="F98">
        <v>1363.72</v>
      </c>
      <c r="G98">
        <f t="shared" si="2"/>
        <v>0</v>
      </c>
      <c r="H98">
        <f t="shared" si="3"/>
        <v>1363.72</v>
      </c>
    </row>
    <row r="99" spans="1:8" x14ac:dyDescent="0.3">
      <c r="A99" s="2">
        <v>44337.849305555559</v>
      </c>
      <c r="B99" t="s">
        <v>6</v>
      </c>
      <c r="C99" t="s">
        <v>32</v>
      </c>
      <c r="D99" t="s">
        <v>33</v>
      </c>
      <c r="E99" t="s">
        <v>9</v>
      </c>
      <c r="F99">
        <v>55000</v>
      </c>
      <c r="G99">
        <f t="shared" si="2"/>
        <v>55000</v>
      </c>
      <c r="H99">
        <f t="shared" si="3"/>
        <v>0</v>
      </c>
    </row>
    <row r="100" spans="1:8" x14ac:dyDescent="0.3">
      <c r="A100" s="2">
        <v>44338.272916666669</v>
      </c>
      <c r="B100" t="s">
        <v>6</v>
      </c>
      <c r="C100" t="s">
        <v>14</v>
      </c>
      <c r="D100" t="s">
        <v>15</v>
      </c>
      <c r="E100" t="s">
        <v>12</v>
      </c>
      <c r="F100">
        <v>5120</v>
      </c>
      <c r="G100">
        <f t="shared" si="2"/>
        <v>0</v>
      </c>
      <c r="H100">
        <f t="shared" si="3"/>
        <v>5120</v>
      </c>
    </row>
    <row r="101" spans="1:8" x14ac:dyDescent="0.3">
      <c r="A101" s="2">
        <v>44347.363888888889</v>
      </c>
      <c r="B101" t="s">
        <v>6</v>
      </c>
      <c r="C101" t="s">
        <v>16</v>
      </c>
      <c r="D101" t="s">
        <v>90</v>
      </c>
      <c r="E101" t="s">
        <v>12</v>
      </c>
      <c r="F101">
        <v>50</v>
      </c>
      <c r="G101">
        <f t="shared" si="2"/>
        <v>0</v>
      </c>
      <c r="H101">
        <f t="shared" si="3"/>
        <v>50</v>
      </c>
    </row>
    <row r="102" spans="1:8" x14ac:dyDescent="0.3">
      <c r="A102" s="2">
        <v>44348.491666666669</v>
      </c>
      <c r="B102" t="s">
        <v>6</v>
      </c>
      <c r="C102" t="s">
        <v>16</v>
      </c>
      <c r="D102" t="s">
        <v>20</v>
      </c>
      <c r="E102" t="s">
        <v>12</v>
      </c>
      <c r="F102">
        <v>429</v>
      </c>
      <c r="G102">
        <f t="shared" si="2"/>
        <v>0</v>
      </c>
      <c r="H102">
        <f t="shared" si="3"/>
        <v>429</v>
      </c>
    </row>
    <row r="103" spans="1:8" x14ac:dyDescent="0.3">
      <c r="A103" s="2">
        <v>44348.598611111112</v>
      </c>
      <c r="B103" t="s">
        <v>6</v>
      </c>
      <c r="C103" t="s">
        <v>10</v>
      </c>
      <c r="D103" t="s">
        <v>91</v>
      </c>
      <c r="E103" t="s">
        <v>12</v>
      </c>
      <c r="F103">
        <v>10</v>
      </c>
      <c r="G103">
        <f t="shared" si="2"/>
        <v>0</v>
      </c>
      <c r="H103">
        <f t="shared" si="3"/>
        <v>10</v>
      </c>
    </row>
    <row r="104" spans="1:8" x14ac:dyDescent="0.3">
      <c r="A104" s="2">
        <v>44348.842361111114</v>
      </c>
      <c r="B104" t="s">
        <v>6</v>
      </c>
      <c r="C104" t="s">
        <v>10</v>
      </c>
      <c r="D104" t="s">
        <v>92</v>
      </c>
      <c r="E104" t="s">
        <v>12</v>
      </c>
      <c r="F104">
        <v>877.81</v>
      </c>
      <c r="G104">
        <f t="shared" si="2"/>
        <v>0</v>
      </c>
      <c r="H104">
        <f t="shared" si="3"/>
        <v>877.81</v>
      </c>
    </row>
    <row r="105" spans="1:8" x14ac:dyDescent="0.3">
      <c r="A105" s="2">
        <v>44348.873611111114</v>
      </c>
      <c r="B105" t="s">
        <v>6</v>
      </c>
      <c r="C105" t="s">
        <v>10</v>
      </c>
      <c r="D105" t="s">
        <v>93</v>
      </c>
      <c r="E105" t="s">
        <v>12</v>
      </c>
      <c r="F105">
        <v>200</v>
      </c>
      <c r="G105">
        <f t="shared" si="2"/>
        <v>0</v>
      </c>
      <c r="H105">
        <f t="shared" si="3"/>
        <v>200</v>
      </c>
    </row>
    <row r="106" spans="1:8" x14ac:dyDescent="0.3">
      <c r="A106" s="2">
        <v>44348.895833333336</v>
      </c>
      <c r="B106" t="s">
        <v>6</v>
      </c>
      <c r="C106" t="s">
        <v>13</v>
      </c>
      <c r="D106" t="s">
        <v>94</v>
      </c>
      <c r="E106" t="s">
        <v>9</v>
      </c>
      <c r="F106">
        <v>440</v>
      </c>
      <c r="G106">
        <f t="shared" si="2"/>
        <v>440</v>
      </c>
      <c r="H106">
        <f t="shared" si="3"/>
        <v>0</v>
      </c>
    </row>
    <row r="107" spans="1:8" x14ac:dyDescent="0.3">
      <c r="A107" s="2">
        <v>44349.694444444445</v>
      </c>
      <c r="B107" t="s">
        <v>6</v>
      </c>
      <c r="C107" t="s">
        <v>13</v>
      </c>
      <c r="D107" t="s">
        <v>95</v>
      </c>
      <c r="E107" t="s">
        <v>12</v>
      </c>
      <c r="F107">
        <v>4500</v>
      </c>
      <c r="G107">
        <f t="shared" si="2"/>
        <v>0</v>
      </c>
      <c r="H107">
        <f t="shared" si="3"/>
        <v>4500</v>
      </c>
    </row>
    <row r="108" spans="1:8" x14ac:dyDescent="0.3">
      <c r="A108" s="2">
        <v>44349.744444444441</v>
      </c>
      <c r="B108" t="s">
        <v>6</v>
      </c>
      <c r="C108" t="s">
        <v>16</v>
      </c>
      <c r="D108" t="s">
        <v>96</v>
      </c>
      <c r="E108" t="s">
        <v>12</v>
      </c>
      <c r="F108">
        <v>1000</v>
      </c>
      <c r="G108">
        <f t="shared" si="2"/>
        <v>0</v>
      </c>
      <c r="H108">
        <f t="shared" si="3"/>
        <v>1000</v>
      </c>
    </row>
    <row r="109" spans="1:8" x14ac:dyDescent="0.3">
      <c r="A109" s="2">
        <v>44349.745138888888</v>
      </c>
      <c r="B109" t="s">
        <v>6</v>
      </c>
      <c r="C109" t="s">
        <v>10</v>
      </c>
      <c r="D109" t="s">
        <v>97</v>
      </c>
      <c r="E109" t="s">
        <v>12</v>
      </c>
      <c r="F109">
        <v>150</v>
      </c>
      <c r="G109">
        <f t="shared" si="2"/>
        <v>0</v>
      </c>
      <c r="H109">
        <f t="shared" si="3"/>
        <v>150</v>
      </c>
    </row>
    <row r="110" spans="1:8" x14ac:dyDescent="0.3">
      <c r="A110" s="2">
        <v>44349.772222222222</v>
      </c>
      <c r="B110" t="s">
        <v>6</v>
      </c>
      <c r="C110" t="s">
        <v>10</v>
      </c>
      <c r="D110" t="s">
        <v>98</v>
      </c>
      <c r="E110" t="s">
        <v>12</v>
      </c>
      <c r="F110">
        <v>125</v>
      </c>
      <c r="G110">
        <f t="shared" si="2"/>
        <v>0</v>
      </c>
      <c r="H110">
        <f t="shared" si="3"/>
        <v>125</v>
      </c>
    </row>
    <row r="111" spans="1:8" x14ac:dyDescent="0.3">
      <c r="A111" s="2">
        <v>44349.888888888891</v>
      </c>
      <c r="B111" t="s">
        <v>6</v>
      </c>
      <c r="C111" t="s">
        <v>10</v>
      </c>
      <c r="D111" t="s">
        <v>99</v>
      </c>
      <c r="E111" t="s">
        <v>12</v>
      </c>
      <c r="F111">
        <v>491</v>
      </c>
      <c r="G111">
        <f t="shared" si="2"/>
        <v>0</v>
      </c>
      <c r="H111">
        <f t="shared" si="3"/>
        <v>491</v>
      </c>
    </row>
    <row r="112" spans="1:8" x14ac:dyDescent="0.3">
      <c r="A112" s="2">
        <v>44361.637499999997</v>
      </c>
      <c r="B112" t="s">
        <v>6</v>
      </c>
      <c r="C112" t="s">
        <v>10</v>
      </c>
      <c r="D112" t="s">
        <v>11</v>
      </c>
      <c r="E112" t="s">
        <v>12</v>
      </c>
      <c r="F112">
        <v>749</v>
      </c>
      <c r="G112">
        <f t="shared" si="2"/>
        <v>0</v>
      </c>
      <c r="H112">
        <f t="shared" si="3"/>
        <v>749</v>
      </c>
    </row>
    <row r="113" spans="1:8" x14ac:dyDescent="0.3">
      <c r="A113" s="2">
        <v>44369.272916666669</v>
      </c>
      <c r="B113" t="s">
        <v>6</v>
      </c>
      <c r="C113" t="s">
        <v>14</v>
      </c>
      <c r="D113" t="s">
        <v>15</v>
      </c>
      <c r="E113" t="s">
        <v>12</v>
      </c>
      <c r="F113">
        <v>4120</v>
      </c>
      <c r="G113">
        <f t="shared" si="2"/>
        <v>0</v>
      </c>
      <c r="H113">
        <f t="shared" si="3"/>
        <v>4120</v>
      </c>
    </row>
    <row r="114" spans="1:8" x14ac:dyDescent="0.3">
      <c r="A114" s="2">
        <v>44369.695138888892</v>
      </c>
      <c r="B114" t="s">
        <v>6</v>
      </c>
      <c r="C114" t="s">
        <v>32</v>
      </c>
      <c r="D114" t="s">
        <v>33</v>
      </c>
      <c r="E114" t="s">
        <v>9</v>
      </c>
      <c r="F114">
        <v>55000</v>
      </c>
      <c r="G114">
        <f t="shared" si="2"/>
        <v>55000</v>
      </c>
      <c r="H114">
        <f t="shared" si="3"/>
        <v>0</v>
      </c>
    </row>
    <row r="115" spans="1:8" x14ac:dyDescent="0.3">
      <c r="A115" s="2">
        <v>44378.57708333333</v>
      </c>
      <c r="B115" t="s">
        <v>6</v>
      </c>
      <c r="C115" t="s">
        <v>10</v>
      </c>
      <c r="D115" t="s">
        <v>100</v>
      </c>
      <c r="E115" t="s">
        <v>12</v>
      </c>
      <c r="F115">
        <v>1599</v>
      </c>
      <c r="G115">
        <f t="shared" si="2"/>
        <v>0</v>
      </c>
      <c r="H115">
        <f t="shared" si="3"/>
        <v>1599</v>
      </c>
    </row>
    <row r="116" spans="1:8" x14ac:dyDescent="0.3">
      <c r="A116" s="2">
        <v>44379.297222222223</v>
      </c>
      <c r="B116" t="s">
        <v>6</v>
      </c>
      <c r="C116" t="s">
        <v>16</v>
      </c>
      <c r="D116" t="s">
        <v>101</v>
      </c>
      <c r="E116" t="s">
        <v>12</v>
      </c>
      <c r="F116">
        <v>214</v>
      </c>
      <c r="G116">
        <f t="shared" si="2"/>
        <v>0</v>
      </c>
      <c r="H116">
        <f t="shared" si="3"/>
        <v>214</v>
      </c>
    </row>
    <row r="117" spans="1:8" x14ac:dyDescent="0.3">
      <c r="A117" s="2">
        <v>44395.540972222225</v>
      </c>
      <c r="B117" t="s">
        <v>6</v>
      </c>
      <c r="C117" t="s">
        <v>13</v>
      </c>
      <c r="D117" t="s">
        <v>97</v>
      </c>
      <c r="E117" t="s">
        <v>12</v>
      </c>
      <c r="F117">
        <v>200</v>
      </c>
      <c r="G117">
        <f t="shared" si="2"/>
        <v>0</v>
      </c>
      <c r="H117">
        <f t="shared" si="3"/>
        <v>200</v>
      </c>
    </row>
    <row r="118" spans="1:8" x14ac:dyDescent="0.3">
      <c r="A118" s="2">
        <v>44399.272916666669</v>
      </c>
      <c r="B118" t="s">
        <v>6</v>
      </c>
      <c r="C118" t="s">
        <v>14</v>
      </c>
      <c r="D118" t="s">
        <v>15</v>
      </c>
      <c r="E118" t="s">
        <v>12</v>
      </c>
      <c r="F118">
        <v>4620</v>
      </c>
      <c r="G118">
        <f t="shared" si="2"/>
        <v>0</v>
      </c>
      <c r="H118">
        <f t="shared" si="3"/>
        <v>4620</v>
      </c>
    </row>
    <row r="119" spans="1:8" x14ac:dyDescent="0.3">
      <c r="A119" s="2">
        <v>44400.895138888889</v>
      </c>
      <c r="B119" t="s">
        <v>6</v>
      </c>
      <c r="C119" t="s">
        <v>10</v>
      </c>
      <c r="D119" t="s">
        <v>49</v>
      </c>
      <c r="E119" t="s">
        <v>12</v>
      </c>
      <c r="F119">
        <v>302</v>
      </c>
      <c r="G119">
        <f t="shared" si="2"/>
        <v>0</v>
      </c>
      <c r="H119">
        <f t="shared" si="3"/>
        <v>302</v>
      </c>
    </row>
    <row r="120" spans="1:8" x14ac:dyDescent="0.3">
      <c r="A120" s="2">
        <v>44401.90902777778</v>
      </c>
      <c r="B120" t="s">
        <v>6</v>
      </c>
      <c r="C120" t="s">
        <v>27</v>
      </c>
      <c r="D120" t="s">
        <v>102</v>
      </c>
      <c r="E120" t="s">
        <v>12</v>
      </c>
      <c r="F120">
        <v>1500</v>
      </c>
      <c r="G120">
        <f t="shared" si="2"/>
        <v>0</v>
      </c>
      <c r="H120">
        <f t="shared" si="3"/>
        <v>1500</v>
      </c>
    </row>
    <row r="121" spans="1:8" x14ac:dyDescent="0.3">
      <c r="A121" s="2">
        <v>44402.565972222219</v>
      </c>
      <c r="B121" t="s">
        <v>6</v>
      </c>
      <c r="C121" t="s">
        <v>10</v>
      </c>
      <c r="D121" t="s">
        <v>103</v>
      </c>
      <c r="E121" t="s">
        <v>12</v>
      </c>
      <c r="F121">
        <v>259</v>
      </c>
      <c r="G121">
        <f t="shared" si="2"/>
        <v>0</v>
      </c>
      <c r="H121">
        <f t="shared" si="3"/>
        <v>259</v>
      </c>
    </row>
    <row r="122" spans="1:8" x14ac:dyDescent="0.3">
      <c r="A122" s="2">
        <v>44403.734027777777</v>
      </c>
      <c r="B122" t="s">
        <v>6</v>
      </c>
      <c r="C122" t="s">
        <v>32</v>
      </c>
      <c r="D122" t="s">
        <v>33</v>
      </c>
      <c r="E122" t="s">
        <v>9</v>
      </c>
      <c r="F122">
        <v>55000</v>
      </c>
      <c r="G122">
        <f t="shared" si="2"/>
        <v>55000</v>
      </c>
      <c r="H122">
        <f t="shared" si="3"/>
        <v>0</v>
      </c>
    </row>
    <row r="123" spans="1:8" x14ac:dyDescent="0.3">
      <c r="A123" s="2">
        <v>44404.568055555559</v>
      </c>
      <c r="B123" t="s">
        <v>6</v>
      </c>
      <c r="C123" t="s">
        <v>13</v>
      </c>
      <c r="D123" t="s">
        <v>25</v>
      </c>
      <c r="E123" t="s">
        <v>9</v>
      </c>
      <c r="F123">
        <v>300</v>
      </c>
      <c r="G123">
        <f t="shared" si="2"/>
        <v>300</v>
      </c>
      <c r="H123">
        <f t="shared" si="3"/>
        <v>0</v>
      </c>
    </row>
    <row r="124" spans="1:8" x14ac:dyDescent="0.3">
      <c r="A124" s="2">
        <v>44409.568055555559</v>
      </c>
      <c r="B124" t="s">
        <v>6</v>
      </c>
      <c r="C124" t="s">
        <v>14</v>
      </c>
      <c r="D124" t="s">
        <v>104</v>
      </c>
      <c r="E124" t="s">
        <v>12</v>
      </c>
      <c r="F124">
        <v>4580</v>
      </c>
      <c r="G124">
        <f t="shared" si="2"/>
        <v>0</v>
      </c>
      <c r="H124">
        <f t="shared" si="3"/>
        <v>4580</v>
      </c>
    </row>
    <row r="125" spans="1:8" x14ac:dyDescent="0.3">
      <c r="A125" s="2">
        <v>44409.572916666664</v>
      </c>
      <c r="B125" t="s">
        <v>6</v>
      </c>
      <c r="C125" t="s">
        <v>10</v>
      </c>
      <c r="D125" t="s">
        <v>105</v>
      </c>
      <c r="E125" t="s">
        <v>12</v>
      </c>
      <c r="F125">
        <v>535.29999999999995</v>
      </c>
      <c r="G125">
        <f t="shared" si="2"/>
        <v>0</v>
      </c>
      <c r="H125">
        <f t="shared" si="3"/>
        <v>535.29999999999995</v>
      </c>
    </row>
    <row r="126" spans="1:8" x14ac:dyDescent="0.3">
      <c r="A126" s="2">
        <v>44409.573611111111</v>
      </c>
      <c r="B126" t="s">
        <v>6</v>
      </c>
      <c r="C126" t="s">
        <v>13</v>
      </c>
      <c r="D126" t="s">
        <v>106</v>
      </c>
      <c r="E126" t="s">
        <v>9</v>
      </c>
      <c r="F126">
        <v>260</v>
      </c>
      <c r="G126">
        <f t="shared" si="2"/>
        <v>260</v>
      </c>
      <c r="H126">
        <f t="shared" si="3"/>
        <v>0</v>
      </c>
    </row>
    <row r="127" spans="1:8" x14ac:dyDescent="0.3">
      <c r="A127" s="2">
        <v>44410.442361111112</v>
      </c>
      <c r="B127" t="s">
        <v>6</v>
      </c>
      <c r="C127" t="s">
        <v>32</v>
      </c>
      <c r="D127" t="s">
        <v>33</v>
      </c>
      <c r="E127" t="s">
        <v>9</v>
      </c>
      <c r="F127">
        <v>55000</v>
      </c>
      <c r="G127">
        <f t="shared" si="2"/>
        <v>55000</v>
      </c>
      <c r="H127">
        <f t="shared" si="3"/>
        <v>0</v>
      </c>
    </row>
    <row r="128" spans="1:8" x14ac:dyDescent="0.3">
      <c r="A128" s="2">
        <v>44410.843055555553</v>
      </c>
      <c r="B128" t="s">
        <v>6</v>
      </c>
      <c r="C128" t="s">
        <v>13</v>
      </c>
      <c r="D128" t="s">
        <v>8</v>
      </c>
      <c r="E128" t="s">
        <v>9</v>
      </c>
      <c r="F128">
        <v>500</v>
      </c>
      <c r="G128">
        <f t="shared" si="2"/>
        <v>500</v>
      </c>
      <c r="H128">
        <f t="shared" si="3"/>
        <v>0</v>
      </c>
    </row>
    <row r="129" spans="1:8" x14ac:dyDescent="0.3">
      <c r="A129" s="2">
        <v>44425.357638888891</v>
      </c>
      <c r="B129" t="s">
        <v>6</v>
      </c>
      <c r="C129" t="s">
        <v>13</v>
      </c>
      <c r="D129" t="s">
        <v>107</v>
      </c>
      <c r="E129" t="s">
        <v>12</v>
      </c>
      <c r="F129">
        <v>50</v>
      </c>
      <c r="G129">
        <f t="shared" si="2"/>
        <v>0</v>
      </c>
      <c r="H129">
        <f t="shared" si="3"/>
        <v>50</v>
      </c>
    </row>
    <row r="130" spans="1:8" x14ac:dyDescent="0.3">
      <c r="A130" s="2">
        <v>44429.67083333333</v>
      </c>
      <c r="B130" t="s">
        <v>6</v>
      </c>
      <c r="C130" t="s">
        <v>16</v>
      </c>
      <c r="D130" t="s">
        <v>108</v>
      </c>
      <c r="E130" t="s">
        <v>12</v>
      </c>
      <c r="F130">
        <v>138</v>
      </c>
      <c r="G130">
        <f t="shared" si="2"/>
        <v>0</v>
      </c>
      <c r="H130">
        <f t="shared" si="3"/>
        <v>138</v>
      </c>
    </row>
    <row r="131" spans="1:8" x14ac:dyDescent="0.3">
      <c r="A131" s="2">
        <v>44432.802083333336</v>
      </c>
      <c r="B131" t="s">
        <v>6</v>
      </c>
      <c r="C131" t="s">
        <v>10</v>
      </c>
      <c r="D131" t="s">
        <v>109</v>
      </c>
      <c r="E131" t="s">
        <v>12</v>
      </c>
      <c r="F131">
        <v>324.7</v>
      </c>
      <c r="G131">
        <f t="shared" ref="G131:G194" si="4">IF(E131="income",F131,0)</f>
        <v>0</v>
      </c>
      <c r="H131">
        <f t="shared" ref="H131:H194" si="5">IF(E131="expense",F131,0)</f>
        <v>324.7</v>
      </c>
    </row>
    <row r="132" spans="1:8" x14ac:dyDescent="0.3">
      <c r="A132" s="2">
        <v>44434.588194444441</v>
      </c>
      <c r="B132" t="s">
        <v>6</v>
      </c>
      <c r="C132" t="s">
        <v>10</v>
      </c>
      <c r="D132" t="s">
        <v>11</v>
      </c>
      <c r="E132" t="s">
        <v>12</v>
      </c>
      <c r="F132">
        <v>40</v>
      </c>
      <c r="G132">
        <f t="shared" si="4"/>
        <v>0</v>
      </c>
      <c r="H132">
        <f t="shared" si="5"/>
        <v>40</v>
      </c>
    </row>
    <row r="133" spans="1:8" x14ac:dyDescent="0.3">
      <c r="A133" s="2">
        <v>44435.892361111109</v>
      </c>
      <c r="B133" t="s">
        <v>6</v>
      </c>
      <c r="C133" t="s">
        <v>16</v>
      </c>
      <c r="D133" t="s">
        <v>20</v>
      </c>
      <c r="E133" t="s">
        <v>12</v>
      </c>
      <c r="F133">
        <v>43</v>
      </c>
      <c r="G133">
        <f t="shared" si="4"/>
        <v>0</v>
      </c>
      <c r="H133">
        <f t="shared" si="5"/>
        <v>43</v>
      </c>
    </row>
    <row r="134" spans="1:8" x14ac:dyDescent="0.3">
      <c r="A134" s="2">
        <v>44438.488888888889</v>
      </c>
      <c r="B134" t="s">
        <v>6</v>
      </c>
      <c r="C134" t="s">
        <v>13</v>
      </c>
      <c r="D134" t="s">
        <v>110</v>
      </c>
      <c r="E134" t="s">
        <v>9</v>
      </c>
      <c r="F134">
        <v>2250</v>
      </c>
      <c r="G134">
        <f t="shared" si="4"/>
        <v>2250</v>
      </c>
      <c r="H134">
        <f t="shared" si="5"/>
        <v>0</v>
      </c>
    </row>
    <row r="135" spans="1:8" x14ac:dyDescent="0.3">
      <c r="A135" s="2">
        <v>44441.387499999997</v>
      </c>
      <c r="B135" t="s">
        <v>6</v>
      </c>
      <c r="C135" t="s">
        <v>14</v>
      </c>
      <c r="D135" t="s">
        <v>111</v>
      </c>
      <c r="E135" t="s">
        <v>12</v>
      </c>
      <c r="F135">
        <v>2099</v>
      </c>
      <c r="G135">
        <f t="shared" si="4"/>
        <v>0</v>
      </c>
      <c r="H135">
        <f t="shared" si="5"/>
        <v>2099</v>
      </c>
    </row>
    <row r="136" spans="1:8" x14ac:dyDescent="0.3">
      <c r="A136" s="2">
        <v>44442.765277777777</v>
      </c>
      <c r="B136" t="s">
        <v>6</v>
      </c>
      <c r="C136" t="s">
        <v>13</v>
      </c>
      <c r="D136" t="s">
        <v>25</v>
      </c>
      <c r="E136" t="s">
        <v>9</v>
      </c>
      <c r="F136">
        <v>100</v>
      </c>
      <c r="G136">
        <f t="shared" si="4"/>
        <v>100</v>
      </c>
      <c r="H136">
        <f t="shared" si="5"/>
        <v>0</v>
      </c>
    </row>
    <row r="137" spans="1:8" x14ac:dyDescent="0.3">
      <c r="A137" s="2">
        <v>44453.706944444442</v>
      </c>
      <c r="B137" t="s">
        <v>6</v>
      </c>
      <c r="C137" t="s">
        <v>13</v>
      </c>
      <c r="D137" t="s">
        <v>112</v>
      </c>
      <c r="E137" t="s">
        <v>9</v>
      </c>
      <c r="F137">
        <v>170</v>
      </c>
      <c r="G137">
        <f t="shared" si="4"/>
        <v>170</v>
      </c>
      <c r="H137">
        <f t="shared" si="5"/>
        <v>0</v>
      </c>
    </row>
    <row r="138" spans="1:8" x14ac:dyDescent="0.3">
      <c r="A138" s="2">
        <v>44462.895138888889</v>
      </c>
      <c r="B138" t="s">
        <v>6</v>
      </c>
      <c r="C138" t="s">
        <v>10</v>
      </c>
      <c r="D138" t="s">
        <v>113</v>
      </c>
      <c r="E138" t="s">
        <v>12</v>
      </c>
      <c r="F138">
        <v>300</v>
      </c>
      <c r="G138">
        <f t="shared" si="4"/>
        <v>0</v>
      </c>
      <c r="H138">
        <f t="shared" si="5"/>
        <v>300</v>
      </c>
    </row>
    <row r="139" spans="1:8" x14ac:dyDescent="0.3">
      <c r="A139" s="2">
        <v>44462.90347222222</v>
      </c>
      <c r="B139" t="s">
        <v>6</v>
      </c>
      <c r="C139" t="s">
        <v>10</v>
      </c>
      <c r="D139" t="s">
        <v>18</v>
      </c>
      <c r="E139" t="s">
        <v>12</v>
      </c>
      <c r="F139">
        <v>465</v>
      </c>
      <c r="G139">
        <f t="shared" si="4"/>
        <v>0</v>
      </c>
      <c r="H139">
        <f t="shared" si="5"/>
        <v>465</v>
      </c>
    </row>
    <row r="140" spans="1:8" x14ac:dyDescent="0.3">
      <c r="A140" s="2">
        <v>44462.90625</v>
      </c>
      <c r="B140" t="s">
        <v>6</v>
      </c>
      <c r="C140" t="s">
        <v>10</v>
      </c>
      <c r="D140" t="s">
        <v>114</v>
      </c>
      <c r="E140" t="s">
        <v>12</v>
      </c>
      <c r="F140">
        <v>40</v>
      </c>
      <c r="G140">
        <f t="shared" si="4"/>
        <v>0</v>
      </c>
      <c r="H140">
        <f t="shared" si="5"/>
        <v>40</v>
      </c>
    </row>
    <row r="141" spans="1:8" x14ac:dyDescent="0.3">
      <c r="A141" s="2">
        <v>44463.588888888888</v>
      </c>
      <c r="B141" t="s">
        <v>6</v>
      </c>
      <c r="C141" t="s">
        <v>10</v>
      </c>
      <c r="D141" t="s">
        <v>19</v>
      </c>
      <c r="E141" t="s">
        <v>12</v>
      </c>
      <c r="F141">
        <v>133</v>
      </c>
      <c r="G141">
        <f t="shared" si="4"/>
        <v>0</v>
      </c>
      <c r="H141">
        <f t="shared" si="5"/>
        <v>133</v>
      </c>
    </row>
    <row r="142" spans="1:8" x14ac:dyDescent="0.3">
      <c r="A142" s="2">
        <v>44463.845138888886</v>
      </c>
      <c r="B142" t="s">
        <v>6</v>
      </c>
      <c r="C142" t="s">
        <v>32</v>
      </c>
      <c r="D142" t="s">
        <v>33</v>
      </c>
      <c r="E142" t="s">
        <v>9</v>
      </c>
      <c r="F142">
        <v>55000</v>
      </c>
      <c r="G142">
        <f t="shared" si="4"/>
        <v>55000</v>
      </c>
      <c r="H142">
        <f t="shared" si="5"/>
        <v>0</v>
      </c>
    </row>
    <row r="143" spans="1:8" x14ac:dyDescent="0.3">
      <c r="A143" s="2">
        <v>44464.388888888891</v>
      </c>
      <c r="B143" t="s">
        <v>6</v>
      </c>
      <c r="C143" t="s">
        <v>16</v>
      </c>
      <c r="D143" t="s">
        <v>41</v>
      </c>
      <c r="E143" t="s">
        <v>12</v>
      </c>
      <c r="F143">
        <v>3325</v>
      </c>
      <c r="G143">
        <f t="shared" si="4"/>
        <v>0</v>
      </c>
      <c r="H143">
        <f t="shared" si="5"/>
        <v>3325</v>
      </c>
    </row>
    <row r="144" spans="1:8" x14ac:dyDescent="0.3">
      <c r="A144" s="2">
        <v>44466.570138888892</v>
      </c>
      <c r="B144" t="s">
        <v>6</v>
      </c>
      <c r="C144" t="s">
        <v>13</v>
      </c>
      <c r="D144" t="s">
        <v>40</v>
      </c>
      <c r="E144" t="s">
        <v>12</v>
      </c>
      <c r="F144">
        <v>300</v>
      </c>
      <c r="G144">
        <f t="shared" si="4"/>
        <v>0</v>
      </c>
      <c r="H144">
        <f t="shared" si="5"/>
        <v>300</v>
      </c>
    </row>
    <row r="145" spans="1:8" x14ac:dyDescent="0.3">
      <c r="A145" s="2">
        <v>44470.586111111108</v>
      </c>
      <c r="B145" t="s">
        <v>6</v>
      </c>
      <c r="C145" t="s">
        <v>10</v>
      </c>
      <c r="D145" t="s">
        <v>115</v>
      </c>
      <c r="E145" t="s">
        <v>12</v>
      </c>
      <c r="F145">
        <v>106</v>
      </c>
      <c r="G145">
        <f t="shared" si="4"/>
        <v>0</v>
      </c>
      <c r="H145">
        <f t="shared" si="5"/>
        <v>106</v>
      </c>
    </row>
    <row r="146" spans="1:8" x14ac:dyDescent="0.3">
      <c r="A146" s="2">
        <v>44470.882638888892</v>
      </c>
      <c r="B146" t="s">
        <v>6</v>
      </c>
      <c r="C146" t="s">
        <v>32</v>
      </c>
      <c r="D146" t="s">
        <v>33</v>
      </c>
      <c r="E146" t="s">
        <v>9</v>
      </c>
      <c r="F146">
        <v>55140</v>
      </c>
      <c r="G146">
        <f t="shared" si="4"/>
        <v>55140</v>
      </c>
      <c r="H146">
        <f t="shared" si="5"/>
        <v>0</v>
      </c>
    </row>
    <row r="147" spans="1:8" x14ac:dyDescent="0.3">
      <c r="A147" s="2">
        <v>44470.912499999999</v>
      </c>
      <c r="B147" t="s">
        <v>6</v>
      </c>
      <c r="C147" t="s">
        <v>13</v>
      </c>
      <c r="D147" t="s">
        <v>67</v>
      </c>
      <c r="E147" t="s">
        <v>9</v>
      </c>
      <c r="F147">
        <v>201</v>
      </c>
      <c r="G147">
        <f t="shared" si="4"/>
        <v>201</v>
      </c>
      <c r="H147">
        <f t="shared" si="5"/>
        <v>0</v>
      </c>
    </row>
    <row r="148" spans="1:8" x14ac:dyDescent="0.3">
      <c r="A148" s="2">
        <v>44471.387499999997</v>
      </c>
      <c r="B148" t="s">
        <v>6</v>
      </c>
      <c r="C148" t="s">
        <v>14</v>
      </c>
      <c r="D148" t="s">
        <v>111</v>
      </c>
      <c r="E148" t="s">
        <v>12</v>
      </c>
      <c r="F148">
        <v>2099</v>
      </c>
      <c r="G148">
        <f t="shared" si="4"/>
        <v>0</v>
      </c>
      <c r="H148">
        <f t="shared" si="5"/>
        <v>2099</v>
      </c>
    </row>
    <row r="149" spans="1:8" x14ac:dyDescent="0.3">
      <c r="A149" s="2">
        <v>44471.84375</v>
      </c>
      <c r="B149" t="s">
        <v>6</v>
      </c>
      <c r="C149" t="s">
        <v>10</v>
      </c>
      <c r="D149" t="s">
        <v>50</v>
      </c>
      <c r="E149" t="s">
        <v>12</v>
      </c>
      <c r="F149">
        <v>641</v>
      </c>
      <c r="G149">
        <f t="shared" si="4"/>
        <v>0</v>
      </c>
      <c r="H149">
        <f t="shared" si="5"/>
        <v>641</v>
      </c>
    </row>
    <row r="150" spans="1:8" x14ac:dyDescent="0.3">
      <c r="A150" s="2">
        <v>44483.877083333333</v>
      </c>
      <c r="B150" t="s">
        <v>6</v>
      </c>
      <c r="C150" t="s">
        <v>10</v>
      </c>
      <c r="D150" t="s">
        <v>116</v>
      </c>
      <c r="E150" t="s">
        <v>12</v>
      </c>
      <c r="F150">
        <v>80</v>
      </c>
      <c r="G150">
        <f t="shared" si="4"/>
        <v>0</v>
      </c>
      <c r="H150">
        <f t="shared" si="5"/>
        <v>80</v>
      </c>
    </row>
    <row r="151" spans="1:8" x14ac:dyDescent="0.3">
      <c r="A151" s="2">
        <v>44485.445833333331</v>
      </c>
      <c r="B151" t="s">
        <v>6</v>
      </c>
      <c r="C151" t="s">
        <v>10</v>
      </c>
      <c r="D151" t="s">
        <v>117</v>
      </c>
      <c r="E151" t="s">
        <v>12</v>
      </c>
      <c r="F151">
        <v>110</v>
      </c>
      <c r="G151">
        <f t="shared" si="4"/>
        <v>0</v>
      </c>
      <c r="H151">
        <f t="shared" si="5"/>
        <v>110</v>
      </c>
    </row>
    <row r="152" spans="1:8" x14ac:dyDescent="0.3">
      <c r="A152" s="2">
        <v>44487.875694444447</v>
      </c>
      <c r="B152" t="s">
        <v>6</v>
      </c>
      <c r="C152" t="s">
        <v>13</v>
      </c>
      <c r="D152" t="s">
        <v>97</v>
      </c>
      <c r="E152" t="s">
        <v>12</v>
      </c>
      <c r="F152">
        <v>10000</v>
      </c>
      <c r="G152">
        <f t="shared" si="4"/>
        <v>0</v>
      </c>
      <c r="H152">
        <f t="shared" si="5"/>
        <v>10000</v>
      </c>
    </row>
    <row r="153" spans="1:8" x14ac:dyDescent="0.3">
      <c r="A153" s="2">
        <v>44496.522916666669</v>
      </c>
      <c r="B153" t="s">
        <v>6</v>
      </c>
      <c r="C153" t="s">
        <v>13</v>
      </c>
      <c r="D153" t="s">
        <v>118</v>
      </c>
      <c r="E153" t="s">
        <v>9</v>
      </c>
      <c r="F153">
        <v>40</v>
      </c>
      <c r="G153">
        <f t="shared" si="4"/>
        <v>40</v>
      </c>
      <c r="H153">
        <f t="shared" si="5"/>
        <v>0</v>
      </c>
    </row>
    <row r="154" spans="1:8" x14ac:dyDescent="0.3">
      <c r="A154" s="2">
        <v>44499.489583333336</v>
      </c>
      <c r="B154" t="s">
        <v>6</v>
      </c>
      <c r="C154" t="s">
        <v>13</v>
      </c>
      <c r="D154" t="s">
        <v>64</v>
      </c>
      <c r="E154" t="s">
        <v>9</v>
      </c>
      <c r="F154">
        <v>20</v>
      </c>
      <c r="G154">
        <f t="shared" si="4"/>
        <v>20</v>
      </c>
      <c r="H154">
        <f t="shared" si="5"/>
        <v>0</v>
      </c>
    </row>
    <row r="155" spans="1:8" x14ac:dyDescent="0.3">
      <c r="A155" s="2">
        <v>44499.489583333336</v>
      </c>
      <c r="B155" t="s">
        <v>6</v>
      </c>
      <c r="C155" t="s">
        <v>16</v>
      </c>
      <c r="D155" t="s">
        <v>119</v>
      </c>
      <c r="E155" t="s">
        <v>12</v>
      </c>
      <c r="F155">
        <v>286</v>
      </c>
      <c r="G155">
        <f t="shared" si="4"/>
        <v>0</v>
      </c>
      <c r="H155">
        <f t="shared" si="5"/>
        <v>286</v>
      </c>
    </row>
    <row r="156" spans="1:8" x14ac:dyDescent="0.3">
      <c r="A156" s="2">
        <v>44499.526388888888</v>
      </c>
      <c r="B156" t="s">
        <v>6</v>
      </c>
      <c r="C156" t="s">
        <v>16</v>
      </c>
      <c r="D156" t="s">
        <v>120</v>
      </c>
      <c r="E156" t="s">
        <v>12</v>
      </c>
      <c r="F156">
        <v>199</v>
      </c>
      <c r="G156">
        <f t="shared" si="4"/>
        <v>0</v>
      </c>
      <c r="H156">
        <f t="shared" si="5"/>
        <v>199</v>
      </c>
    </row>
    <row r="157" spans="1:8" x14ac:dyDescent="0.3">
      <c r="A157" s="2">
        <v>44501.588194444441</v>
      </c>
      <c r="B157" t="s">
        <v>6</v>
      </c>
      <c r="C157" t="s">
        <v>10</v>
      </c>
      <c r="D157" t="s">
        <v>121</v>
      </c>
      <c r="E157" t="s">
        <v>12</v>
      </c>
      <c r="F157">
        <v>135.5</v>
      </c>
      <c r="G157">
        <f t="shared" si="4"/>
        <v>0</v>
      </c>
      <c r="H157">
        <f t="shared" si="5"/>
        <v>135.5</v>
      </c>
    </row>
    <row r="158" spans="1:8" x14ac:dyDescent="0.3">
      <c r="A158" s="2">
        <v>44502.387499999997</v>
      </c>
      <c r="B158" t="s">
        <v>6</v>
      </c>
      <c r="C158" t="s">
        <v>14</v>
      </c>
      <c r="D158" t="s">
        <v>111</v>
      </c>
      <c r="E158" t="s">
        <v>12</v>
      </c>
      <c r="F158">
        <v>4099</v>
      </c>
      <c r="G158">
        <f t="shared" si="4"/>
        <v>0</v>
      </c>
      <c r="H158">
        <f t="shared" si="5"/>
        <v>4099</v>
      </c>
    </row>
    <row r="159" spans="1:8" x14ac:dyDescent="0.3">
      <c r="A159" s="2">
        <v>44502.945138888892</v>
      </c>
      <c r="B159" t="s">
        <v>6</v>
      </c>
      <c r="C159" t="s">
        <v>10</v>
      </c>
      <c r="D159" t="s">
        <v>122</v>
      </c>
      <c r="E159" t="s">
        <v>12</v>
      </c>
      <c r="F159">
        <v>373</v>
      </c>
      <c r="G159">
        <f t="shared" si="4"/>
        <v>0</v>
      </c>
      <c r="H159">
        <f t="shared" si="5"/>
        <v>373</v>
      </c>
    </row>
    <row r="160" spans="1:8" x14ac:dyDescent="0.3">
      <c r="A160" s="2">
        <v>44513.798611111109</v>
      </c>
      <c r="B160" t="s">
        <v>6</v>
      </c>
      <c r="C160" t="s">
        <v>13</v>
      </c>
      <c r="D160" t="s">
        <v>8</v>
      </c>
      <c r="E160" t="s">
        <v>9</v>
      </c>
      <c r="F160">
        <v>1000</v>
      </c>
      <c r="G160">
        <f t="shared" si="4"/>
        <v>1000</v>
      </c>
      <c r="H160">
        <f t="shared" si="5"/>
        <v>0</v>
      </c>
    </row>
    <row r="161" spans="1:8" x14ac:dyDescent="0.3">
      <c r="A161" s="2">
        <v>44514.70416666667</v>
      </c>
      <c r="B161" t="s">
        <v>6</v>
      </c>
      <c r="C161" t="s">
        <v>10</v>
      </c>
      <c r="D161" t="s">
        <v>123</v>
      </c>
      <c r="E161" t="s">
        <v>12</v>
      </c>
      <c r="F161">
        <v>1530</v>
      </c>
      <c r="G161">
        <f t="shared" si="4"/>
        <v>0</v>
      </c>
      <c r="H161">
        <f t="shared" si="5"/>
        <v>1530</v>
      </c>
    </row>
    <row r="162" spans="1:8" x14ac:dyDescent="0.3">
      <c r="A162" s="2">
        <v>44514.70416666667</v>
      </c>
      <c r="B162" t="s">
        <v>6</v>
      </c>
      <c r="C162" t="s">
        <v>13</v>
      </c>
      <c r="D162" t="s">
        <v>106</v>
      </c>
      <c r="E162" t="s">
        <v>9</v>
      </c>
      <c r="F162">
        <v>340</v>
      </c>
      <c r="G162">
        <f t="shared" si="4"/>
        <v>340</v>
      </c>
      <c r="H162">
        <f t="shared" si="5"/>
        <v>0</v>
      </c>
    </row>
    <row r="163" spans="1:8" x14ac:dyDescent="0.3">
      <c r="A163" s="2">
        <v>44514.704861111109</v>
      </c>
      <c r="B163" t="s">
        <v>6</v>
      </c>
      <c r="C163" t="s">
        <v>80</v>
      </c>
      <c r="D163" t="s">
        <v>33</v>
      </c>
      <c r="E163" t="s">
        <v>9</v>
      </c>
      <c r="F163">
        <v>55240</v>
      </c>
      <c r="G163">
        <f t="shared" si="4"/>
        <v>55240</v>
      </c>
      <c r="H163">
        <f t="shared" si="5"/>
        <v>0</v>
      </c>
    </row>
    <row r="164" spans="1:8" x14ac:dyDescent="0.3">
      <c r="A164" s="2">
        <v>44514.705555555556</v>
      </c>
      <c r="B164" t="s">
        <v>6</v>
      </c>
      <c r="C164" t="s">
        <v>13</v>
      </c>
      <c r="D164" t="s">
        <v>124</v>
      </c>
      <c r="E164" t="s">
        <v>9</v>
      </c>
      <c r="F164">
        <v>70</v>
      </c>
      <c r="G164">
        <f t="shared" si="4"/>
        <v>70</v>
      </c>
      <c r="H164">
        <f t="shared" si="5"/>
        <v>0</v>
      </c>
    </row>
    <row r="165" spans="1:8" x14ac:dyDescent="0.3">
      <c r="A165" s="2">
        <v>44518.540972222225</v>
      </c>
      <c r="B165" t="s">
        <v>6</v>
      </c>
      <c r="C165" t="s">
        <v>13</v>
      </c>
      <c r="D165" t="s">
        <v>8</v>
      </c>
      <c r="E165" t="s">
        <v>9</v>
      </c>
      <c r="F165">
        <v>1000</v>
      </c>
      <c r="G165">
        <f t="shared" si="4"/>
        <v>1000</v>
      </c>
      <c r="H165">
        <f t="shared" si="5"/>
        <v>0</v>
      </c>
    </row>
    <row r="166" spans="1:8" x14ac:dyDescent="0.3">
      <c r="A166" s="2">
        <v>44527.77847222222</v>
      </c>
      <c r="B166" t="s">
        <v>6</v>
      </c>
      <c r="C166" t="s">
        <v>16</v>
      </c>
      <c r="D166" t="s">
        <v>125</v>
      </c>
      <c r="E166" t="s">
        <v>12</v>
      </c>
      <c r="F166">
        <v>35</v>
      </c>
      <c r="G166">
        <f t="shared" si="4"/>
        <v>0</v>
      </c>
      <c r="H166">
        <f t="shared" si="5"/>
        <v>35</v>
      </c>
    </row>
    <row r="167" spans="1:8" x14ac:dyDescent="0.3">
      <c r="A167" s="2">
        <v>44527.94027777778</v>
      </c>
      <c r="B167" t="s">
        <v>6</v>
      </c>
      <c r="C167" t="s">
        <v>10</v>
      </c>
      <c r="D167" t="s">
        <v>126</v>
      </c>
      <c r="E167" t="s">
        <v>12</v>
      </c>
      <c r="F167">
        <v>130</v>
      </c>
      <c r="G167">
        <f t="shared" si="4"/>
        <v>0</v>
      </c>
      <c r="H167">
        <f t="shared" si="5"/>
        <v>130</v>
      </c>
    </row>
    <row r="168" spans="1:8" x14ac:dyDescent="0.3">
      <c r="A168" s="2">
        <v>44527.968055555553</v>
      </c>
      <c r="B168" t="s">
        <v>6</v>
      </c>
      <c r="C168" t="s">
        <v>10</v>
      </c>
      <c r="D168" t="s">
        <v>126</v>
      </c>
      <c r="E168" t="s">
        <v>12</v>
      </c>
      <c r="F168">
        <v>120</v>
      </c>
      <c r="G168">
        <f t="shared" si="4"/>
        <v>0</v>
      </c>
      <c r="H168">
        <f t="shared" si="5"/>
        <v>120</v>
      </c>
    </row>
    <row r="169" spans="1:8" x14ac:dyDescent="0.3">
      <c r="A169" s="2">
        <v>44528.548611111109</v>
      </c>
      <c r="B169" t="s">
        <v>6</v>
      </c>
      <c r="C169" t="s">
        <v>10</v>
      </c>
      <c r="D169" t="s">
        <v>127</v>
      </c>
      <c r="E169" t="s">
        <v>12</v>
      </c>
      <c r="F169">
        <v>269.39999999999998</v>
      </c>
      <c r="G169">
        <f t="shared" si="4"/>
        <v>0</v>
      </c>
      <c r="H169">
        <f t="shared" si="5"/>
        <v>269.39999999999998</v>
      </c>
    </row>
    <row r="170" spans="1:8" x14ac:dyDescent="0.3">
      <c r="A170" s="2">
        <v>44528.832638888889</v>
      </c>
      <c r="B170" t="s">
        <v>6</v>
      </c>
      <c r="C170" t="s">
        <v>10</v>
      </c>
      <c r="D170" t="s">
        <v>128</v>
      </c>
      <c r="E170" t="s">
        <v>12</v>
      </c>
      <c r="F170">
        <v>94</v>
      </c>
      <c r="G170">
        <f t="shared" si="4"/>
        <v>0</v>
      </c>
      <c r="H170">
        <f t="shared" si="5"/>
        <v>94</v>
      </c>
    </row>
    <row r="171" spans="1:8" x14ac:dyDescent="0.3">
      <c r="A171" s="2">
        <v>44529.395138888889</v>
      </c>
      <c r="B171" t="s">
        <v>6</v>
      </c>
      <c r="C171" t="s">
        <v>10</v>
      </c>
      <c r="D171" t="s">
        <v>129</v>
      </c>
      <c r="E171" t="s">
        <v>12</v>
      </c>
      <c r="F171">
        <v>40</v>
      </c>
      <c r="G171">
        <f t="shared" si="4"/>
        <v>0</v>
      </c>
      <c r="H171">
        <f t="shared" si="5"/>
        <v>40</v>
      </c>
    </row>
    <row r="172" spans="1:8" x14ac:dyDescent="0.3">
      <c r="A172" s="2">
        <v>44529.839583333334</v>
      </c>
      <c r="B172" t="s">
        <v>6</v>
      </c>
      <c r="C172" t="s">
        <v>10</v>
      </c>
      <c r="D172" t="s">
        <v>116</v>
      </c>
      <c r="E172" t="s">
        <v>12</v>
      </c>
      <c r="F172">
        <v>40</v>
      </c>
      <c r="G172">
        <f t="shared" si="4"/>
        <v>0</v>
      </c>
      <c r="H172">
        <f t="shared" si="5"/>
        <v>40</v>
      </c>
    </row>
    <row r="173" spans="1:8" x14ac:dyDescent="0.3">
      <c r="A173" s="2">
        <v>44529.865972222222</v>
      </c>
      <c r="B173" t="s">
        <v>6</v>
      </c>
      <c r="C173" t="s">
        <v>10</v>
      </c>
      <c r="D173" t="s">
        <v>19</v>
      </c>
      <c r="E173" t="s">
        <v>12</v>
      </c>
      <c r="F173">
        <v>40</v>
      </c>
      <c r="G173">
        <f t="shared" si="4"/>
        <v>0</v>
      </c>
      <c r="H173">
        <f t="shared" si="5"/>
        <v>40</v>
      </c>
    </row>
    <row r="174" spans="1:8" x14ac:dyDescent="0.3">
      <c r="A174" s="2">
        <v>44529.865972222222</v>
      </c>
      <c r="B174" t="s">
        <v>6</v>
      </c>
      <c r="C174" t="s">
        <v>10</v>
      </c>
      <c r="D174" t="s">
        <v>18</v>
      </c>
      <c r="E174" t="s">
        <v>12</v>
      </c>
      <c r="F174">
        <v>50</v>
      </c>
      <c r="G174">
        <f t="shared" si="4"/>
        <v>0</v>
      </c>
      <c r="H174">
        <f t="shared" si="5"/>
        <v>50</v>
      </c>
    </row>
    <row r="175" spans="1:8" x14ac:dyDescent="0.3">
      <c r="A175" s="2">
        <v>44529.913888888892</v>
      </c>
      <c r="B175" t="s">
        <v>6</v>
      </c>
      <c r="C175" t="s">
        <v>16</v>
      </c>
      <c r="D175" t="s">
        <v>20</v>
      </c>
      <c r="E175" t="s">
        <v>12</v>
      </c>
      <c r="F175">
        <v>44</v>
      </c>
      <c r="G175">
        <f t="shared" si="4"/>
        <v>0</v>
      </c>
      <c r="H175">
        <f t="shared" si="5"/>
        <v>44</v>
      </c>
    </row>
    <row r="176" spans="1:8" x14ac:dyDescent="0.3">
      <c r="A176" s="2">
        <v>44530.424305555556</v>
      </c>
      <c r="B176" t="s">
        <v>6</v>
      </c>
      <c r="C176" t="s">
        <v>10</v>
      </c>
      <c r="D176" t="s">
        <v>129</v>
      </c>
      <c r="E176" t="s">
        <v>12</v>
      </c>
      <c r="F176">
        <v>70</v>
      </c>
      <c r="G176">
        <f t="shared" si="4"/>
        <v>0</v>
      </c>
      <c r="H176">
        <f t="shared" si="5"/>
        <v>70</v>
      </c>
    </row>
    <row r="177" spans="1:8" x14ac:dyDescent="0.3">
      <c r="A177" s="2">
        <v>44530.595138888886</v>
      </c>
      <c r="B177" t="s">
        <v>6</v>
      </c>
      <c r="C177" t="s">
        <v>10</v>
      </c>
      <c r="D177" t="s">
        <v>19</v>
      </c>
      <c r="E177" t="s">
        <v>12</v>
      </c>
      <c r="F177">
        <v>128</v>
      </c>
      <c r="G177">
        <f t="shared" si="4"/>
        <v>0</v>
      </c>
      <c r="H177">
        <f t="shared" si="5"/>
        <v>128</v>
      </c>
    </row>
    <row r="178" spans="1:8" x14ac:dyDescent="0.3">
      <c r="A178" s="2">
        <v>44530.6</v>
      </c>
      <c r="B178" t="s">
        <v>6</v>
      </c>
      <c r="C178" t="s">
        <v>27</v>
      </c>
      <c r="D178" t="s">
        <v>130</v>
      </c>
      <c r="E178" t="s">
        <v>12</v>
      </c>
      <c r="F178">
        <v>115</v>
      </c>
      <c r="G178">
        <f t="shared" si="4"/>
        <v>0</v>
      </c>
      <c r="H178">
        <f t="shared" si="5"/>
        <v>115</v>
      </c>
    </row>
    <row r="179" spans="1:8" x14ac:dyDescent="0.3">
      <c r="A179" s="2">
        <v>44531.559027777781</v>
      </c>
      <c r="B179" t="s">
        <v>6</v>
      </c>
      <c r="C179" t="s">
        <v>10</v>
      </c>
      <c r="D179" t="s">
        <v>63</v>
      </c>
      <c r="E179" t="s">
        <v>12</v>
      </c>
      <c r="F179">
        <v>301.75</v>
      </c>
      <c r="G179">
        <f t="shared" si="4"/>
        <v>0</v>
      </c>
      <c r="H179">
        <f t="shared" si="5"/>
        <v>301.75</v>
      </c>
    </row>
    <row r="180" spans="1:8" x14ac:dyDescent="0.3">
      <c r="A180" s="2">
        <v>44531.559027777781</v>
      </c>
      <c r="B180" t="s">
        <v>6</v>
      </c>
      <c r="C180" t="s">
        <v>13</v>
      </c>
      <c r="D180" t="s">
        <v>131</v>
      </c>
      <c r="E180" t="s">
        <v>9</v>
      </c>
      <c r="F180">
        <v>200</v>
      </c>
      <c r="G180">
        <f t="shared" si="4"/>
        <v>200</v>
      </c>
      <c r="H180">
        <f t="shared" si="5"/>
        <v>0</v>
      </c>
    </row>
    <row r="181" spans="1:8" x14ac:dyDescent="0.3">
      <c r="A181" s="2">
        <v>44531.947222222225</v>
      </c>
      <c r="B181" t="s">
        <v>6</v>
      </c>
      <c r="C181" t="s">
        <v>13</v>
      </c>
      <c r="D181" t="s">
        <v>132</v>
      </c>
      <c r="E181" t="s">
        <v>12</v>
      </c>
      <c r="F181">
        <v>479</v>
      </c>
      <c r="G181">
        <f t="shared" si="4"/>
        <v>0</v>
      </c>
      <c r="H181">
        <f t="shared" si="5"/>
        <v>479</v>
      </c>
    </row>
    <row r="182" spans="1:8" x14ac:dyDescent="0.3">
      <c r="A182" s="2">
        <v>44532.615972222222</v>
      </c>
      <c r="B182" t="s">
        <v>6</v>
      </c>
      <c r="C182" t="s">
        <v>13</v>
      </c>
      <c r="D182" t="s">
        <v>8</v>
      </c>
      <c r="E182" t="s">
        <v>9</v>
      </c>
      <c r="F182">
        <v>10000</v>
      </c>
      <c r="G182">
        <f t="shared" si="4"/>
        <v>10000</v>
      </c>
      <c r="H182">
        <f t="shared" si="5"/>
        <v>0</v>
      </c>
    </row>
    <row r="183" spans="1:8" x14ac:dyDescent="0.3">
      <c r="A183" s="2">
        <v>44532.616666666669</v>
      </c>
      <c r="B183" t="s">
        <v>6</v>
      </c>
      <c r="C183" t="s">
        <v>10</v>
      </c>
      <c r="D183" t="s">
        <v>49</v>
      </c>
      <c r="E183" t="s">
        <v>12</v>
      </c>
      <c r="F183">
        <v>80</v>
      </c>
      <c r="G183">
        <f t="shared" si="4"/>
        <v>0</v>
      </c>
      <c r="H183">
        <f t="shared" si="5"/>
        <v>80</v>
      </c>
    </row>
    <row r="184" spans="1:8" x14ac:dyDescent="0.3">
      <c r="A184" s="2">
        <v>44532.669444444444</v>
      </c>
      <c r="B184" t="s">
        <v>6</v>
      </c>
      <c r="C184" t="s">
        <v>14</v>
      </c>
      <c r="D184" t="s">
        <v>133</v>
      </c>
      <c r="E184" t="s">
        <v>12</v>
      </c>
      <c r="F184">
        <v>7770</v>
      </c>
      <c r="G184">
        <f t="shared" si="4"/>
        <v>0</v>
      </c>
      <c r="H184">
        <f t="shared" si="5"/>
        <v>7770</v>
      </c>
    </row>
    <row r="185" spans="1:8" x14ac:dyDescent="0.3">
      <c r="A185" s="2">
        <v>44542.907638888886</v>
      </c>
      <c r="B185" t="s">
        <v>6</v>
      </c>
      <c r="C185" t="s">
        <v>10</v>
      </c>
      <c r="D185" t="s">
        <v>117</v>
      </c>
      <c r="E185" t="s">
        <v>12</v>
      </c>
      <c r="F185">
        <v>25</v>
      </c>
      <c r="G185">
        <f t="shared" si="4"/>
        <v>0</v>
      </c>
      <c r="H185">
        <f t="shared" si="5"/>
        <v>25</v>
      </c>
    </row>
    <row r="186" spans="1:8" x14ac:dyDescent="0.3">
      <c r="A186" s="2">
        <v>44544.439583333333</v>
      </c>
      <c r="B186" t="s">
        <v>6</v>
      </c>
      <c r="C186" t="s">
        <v>10</v>
      </c>
      <c r="D186" t="s">
        <v>117</v>
      </c>
      <c r="E186" t="s">
        <v>12</v>
      </c>
      <c r="F186">
        <v>65</v>
      </c>
      <c r="G186">
        <f t="shared" si="4"/>
        <v>0</v>
      </c>
      <c r="H186">
        <f t="shared" si="5"/>
        <v>65</v>
      </c>
    </row>
    <row r="187" spans="1:8" x14ac:dyDescent="0.3">
      <c r="A187" s="2">
        <v>44544.88958333333</v>
      </c>
      <c r="B187" t="s">
        <v>6</v>
      </c>
      <c r="C187" t="s">
        <v>10</v>
      </c>
      <c r="D187" t="s">
        <v>11</v>
      </c>
      <c r="E187" t="s">
        <v>12</v>
      </c>
      <c r="F187">
        <v>75</v>
      </c>
      <c r="G187">
        <f t="shared" si="4"/>
        <v>0</v>
      </c>
      <c r="H187">
        <f t="shared" si="5"/>
        <v>75</v>
      </c>
    </row>
    <row r="188" spans="1:8" x14ac:dyDescent="0.3">
      <c r="A188" s="2">
        <v>44544.995833333334</v>
      </c>
      <c r="B188" t="s">
        <v>6</v>
      </c>
      <c r="C188" t="s">
        <v>10</v>
      </c>
      <c r="D188" t="s">
        <v>49</v>
      </c>
      <c r="E188" t="s">
        <v>12</v>
      </c>
      <c r="F188">
        <v>400</v>
      </c>
      <c r="G188">
        <f t="shared" si="4"/>
        <v>0</v>
      </c>
      <c r="H188">
        <f t="shared" si="5"/>
        <v>400</v>
      </c>
    </row>
    <row r="189" spans="1:8" x14ac:dyDescent="0.3">
      <c r="A189" s="2">
        <v>44546.568055555559</v>
      </c>
      <c r="B189" t="s">
        <v>6</v>
      </c>
      <c r="C189" t="s">
        <v>10</v>
      </c>
      <c r="D189" t="s">
        <v>49</v>
      </c>
      <c r="E189" t="s">
        <v>12</v>
      </c>
      <c r="F189">
        <v>30</v>
      </c>
      <c r="G189">
        <f t="shared" si="4"/>
        <v>0</v>
      </c>
      <c r="H189">
        <f t="shared" si="5"/>
        <v>30</v>
      </c>
    </row>
    <row r="190" spans="1:8" x14ac:dyDescent="0.3">
      <c r="A190" s="2">
        <v>44546.774305555555</v>
      </c>
      <c r="B190" t="s">
        <v>6</v>
      </c>
      <c r="C190" t="s">
        <v>10</v>
      </c>
      <c r="D190" t="s">
        <v>116</v>
      </c>
      <c r="E190" t="s">
        <v>12</v>
      </c>
      <c r="F190">
        <v>20</v>
      </c>
      <c r="G190">
        <f t="shared" si="4"/>
        <v>0</v>
      </c>
      <c r="H190">
        <f t="shared" si="5"/>
        <v>20</v>
      </c>
    </row>
    <row r="191" spans="1:8" x14ac:dyDescent="0.3">
      <c r="A191" s="2">
        <v>44546.780555555553</v>
      </c>
      <c r="B191" t="s">
        <v>6</v>
      </c>
      <c r="C191" t="s">
        <v>10</v>
      </c>
      <c r="D191" t="s">
        <v>134</v>
      </c>
      <c r="E191" t="s">
        <v>12</v>
      </c>
      <c r="F191">
        <v>300</v>
      </c>
      <c r="G191">
        <f t="shared" si="4"/>
        <v>0</v>
      </c>
      <c r="H191">
        <f t="shared" si="5"/>
        <v>300</v>
      </c>
    </row>
    <row r="192" spans="1:8" x14ac:dyDescent="0.3">
      <c r="A192" s="2">
        <v>44547.614583333336</v>
      </c>
      <c r="B192" t="s">
        <v>6</v>
      </c>
      <c r="C192" t="s">
        <v>10</v>
      </c>
      <c r="D192" t="s">
        <v>19</v>
      </c>
      <c r="E192" t="s">
        <v>12</v>
      </c>
      <c r="F192">
        <v>110</v>
      </c>
      <c r="G192">
        <f t="shared" si="4"/>
        <v>0</v>
      </c>
      <c r="H192">
        <f t="shared" si="5"/>
        <v>110</v>
      </c>
    </row>
    <row r="193" spans="1:8" x14ac:dyDescent="0.3">
      <c r="A193" s="2">
        <v>44547.787499999999</v>
      </c>
      <c r="B193" t="s">
        <v>6</v>
      </c>
      <c r="C193" t="s">
        <v>10</v>
      </c>
      <c r="D193" t="s">
        <v>117</v>
      </c>
      <c r="E193" t="s">
        <v>12</v>
      </c>
      <c r="F193">
        <v>700</v>
      </c>
      <c r="G193">
        <f t="shared" si="4"/>
        <v>0</v>
      </c>
      <c r="H193">
        <f t="shared" si="5"/>
        <v>700</v>
      </c>
    </row>
    <row r="194" spans="1:8" x14ac:dyDescent="0.3">
      <c r="A194" s="2">
        <v>44548.59652777778</v>
      </c>
      <c r="B194" t="s">
        <v>6</v>
      </c>
      <c r="C194" t="s">
        <v>10</v>
      </c>
      <c r="D194" t="s">
        <v>49</v>
      </c>
      <c r="E194" t="s">
        <v>12</v>
      </c>
      <c r="F194">
        <v>160</v>
      </c>
      <c r="G194">
        <f t="shared" si="4"/>
        <v>0</v>
      </c>
      <c r="H194">
        <f t="shared" si="5"/>
        <v>160</v>
      </c>
    </row>
    <row r="195" spans="1:8" x14ac:dyDescent="0.3">
      <c r="A195" s="2">
        <v>44548.827777777777</v>
      </c>
      <c r="B195" t="s">
        <v>6</v>
      </c>
      <c r="C195" t="s">
        <v>13</v>
      </c>
      <c r="D195" t="s">
        <v>135</v>
      </c>
      <c r="E195" t="s">
        <v>9</v>
      </c>
      <c r="F195">
        <v>400</v>
      </c>
      <c r="G195">
        <f t="shared" ref="G195:G226" si="6">IF(E195="income",F195,0)</f>
        <v>400</v>
      </c>
      <c r="H195">
        <f t="shared" ref="H195:H226" si="7">IF(E195="expense",F195,0)</f>
        <v>0</v>
      </c>
    </row>
    <row r="196" spans="1:8" x14ac:dyDescent="0.3">
      <c r="A196" s="2">
        <v>44548.875</v>
      </c>
      <c r="B196" t="s">
        <v>6</v>
      </c>
      <c r="C196" t="s">
        <v>10</v>
      </c>
      <c r="D196" t="s">
        <v>136</v>
      </c>
      <c r="E196" t="s">
        <v>12</v>
      </c>
      <c r="F196">
        <v>113</v>
      </c>
      <c r="G196">
        <f t="shared" si="6"/>
        <v>0</v>
      </c>
      <c r="H196">
        <f t="shared" si="7"/>
        <v>113</v>
      </c>
    </row>
    <row r="197" spans="1:8" x14ac:dyDescent="0.3">
      <c r="A197" s="2">
        <v>44548.875</v>
      </c>
      <c r="B197" t="s">
        <v>6</v>
      </c>
      <c r="C197" t="s">
        <v>7</v>
      </c>
      <c r="D197" t="s">
        <v>8</v>
      </c>
      <c r="E197" t="s">
        <v>9</v>
      </c>
      <c r="F197">
        <v>5000</v>
      </c>
      <c r="G197">
        <f t="shared" si="6"/>
        <v>5000</v>
      </c>
      <c r="H197">
        <f t="shared" si="7"/>
        <v>0</v>
      </c>
    </row>
    <row r="198" spans="1:8" x14ac:dyDescent="0.3">
      <c r="A198" s="2">
        <v>44548.875694444447</v>
      </c>
      <c r="B198" t="s">
        <v>6</v>
      </c>
      <c r="C198" t="s">
        <v>13</v>
      </c>
      <c r="D198" t="s">
        <v>137</v>
      </c>
      <c r="E198" t="s">
        <v>12</v>
      </c>
      <c r="F198">
        <v>200</v>
      </c>
      <c r="G198">
        <f t="shared" si="6"/>
        <v>0</v>
      </c>
      <c r="H198">
        <f t="shared" si="7"/>
        <v>200</v>
      </c>
    </row>
    <row r="199" spans="1:8" x14ac:dyDescent="0.3">
      <c r="A199" s="2">
        <v>44549.660416666666</v>
      </c>
      <c r="B199" t="s">
        <v>6</v>
      </c>
      <c r="C199" t="s">
        <v>13</v>
      </c>
      <c r="D199" t="s">
        <v>138</v>
      </c>
      <c r="E199" t="s">
        <v>12</v>
      </c>
      <c r="F199">
        <v>10000</v>
      </c>
      <c r="G199">
        <f t="shared" si="6"/>
        <v>0</v>
      </c>
      <c r="H199">
        <f t="shared" si="7"/>
        <v>10000</v>
      </c>
    </row>
    <row r="200" spans="1:8" x14ac:dyDescent="0.3">
      <c r="A200" s="2">
        <v>44550.406944444447</v>
      </c>
      <c r="B200" t="s">
        <v>6</v>
      </c>
      <c r="C200" t="s">
        <v>10</v>
      </c>
      <c r="D200" t="s">
        <v>117</v>
      </c>
      <c r="E200" t="s">
        <v>12</v>
      </c>
      <c r="F200">
        <v>40</v>
      </c>
      <c r="G200">
        <f t="shared" si="6"/>
        <v>0</v>
      </c>
      <c r="H200">
        <f t="shared" si="7"/>
        <v>40</v>
      </c>
    </row>
    <row r="201" spans="1:8" x14ac:dyDescent="0.3">
      <c r="A201" s="2">
        <v>44550.565972222219</v>
      </c>
      <c r="B201" t="s">
        <v>6</v>
      </c>
      <c r="C201" t="s">
        <v>10</v>
      </c>
      <c r="D201" t="s">
        <v>139</v>
      </c>
      <c r="E201" t="s">
        <v>12</v>
      </c>
      <c r="F201">
        <v>85</v>
      </c>
      <c r="G201">
        <f t="shared" si="6"/>
        <v>0</v>
      </c>
      <c r="H201">
        <f t="shared" si="7"/>
        <v>85</v>
      </c>
    </row>
    <row r="202" spans="1:8" x14ac:dyDescent="0.3">
      <c r="A202" s="2">
        <v>44550.645138888889</v>
      </c>
      <c r="B202" t="s">
        <v>6</v>
      </c>
      <c r="C202" t="s">
        <v>10</v>
      </c>
      <c r="D202" t="s">
        <v>140</v>
      </c>
      <c r="E202" t="s">
        <v>12</v>
      </c>
      <c r="F202">
        <v>20</v>
      </c>
      <c r="G202">
        <f t="shared" si="6"/>
        <v>0</v>
      </c>
      <c r="H202">
        <f t="shared" si="7"/>
        <v>20</v>
      </c>
    </row>
    <row r="203" spans="1:8" x14ac:dyDescent="0.3">
      <c r="A203" s="2">
        <v>44550.704861111109</v>
      </c>
      <c r="B203" t="s">
        <v>6</v>
      </c>
      <c r="C203" t="s">
        <v>10</v>
      </c>
      <c r="D203" t="s">
        <v>11</v>
      </c>
      <c r="E203" t="s">
        <v>12</v>
      </c>
      <c r="F203">
        <v>20</v>
      </c>
      <c r="G203">
        <f t="shared" si="6"/>
        <v>0</v>
      </c>
      <c r="H203">
        <f t="shared" si="7"/>
        <v>20</v>
      </c>
    </row>
    <row r="204" spans="1:8" x14ac:dyDescent="0.3">
      <c r="A204" s="2">
        <v>44550.806944444441</v>
      </c>
      <c r="B204" t="s">
        <v>6</v>
      </c>
      <c r="C204" t="s">
        <v>16</v>
      </c>
      <c r="D204" t="s">
        <v>141</v>
      </c>
      <c r="E204" t="s">
        <v>12</v>
      </c>
      <c r="F204">
        <v>800</v>
      </c>
      <c r="G204">
        <f t="shared" si="6"/>
        <v>0</v>
      </c>
      <c r="H204">
        <f t="shared" si="7"/>
        <v>800</v>
      </c>
    </row>
    <row r="205" spans="1:8" x14ac:dyDescent="0.3">
      <c r="A205" s="2">
        <v>44550.807638888888</v>
      </c>
      <c r="B205" t="s">
        <v>6</v>
      </c>
      <c r="C205" t="s">
        <v>10</v>
      </c>
      <c r="D205" t="s">
        <v>117</v>
      </c>
      <c r="E205" t="s">
        <v>12</v>
      </c>
      <c r="F205">
        <v>80</v>
      </c>
      <c r="G205">
        <f t="shared" si="6"/>
        <v>0</v>
      </c>
      <c r="H205">
        <f t="shared" si="7"/>
        <v>80</v>
      </c>
    </row>
    <row r="206" spans="1:8" x14ac:dyDescent="0.3">
      <c r="A206" s="2">
        <v>44551.488194444442</v>
      </c>
      <c r="B206" t="s">
        <v>6</v>
      </c>
      <c r="C206" t="s">
        <v>10</v>
      </c>
      <c r="D206" t="s">
        <v>142</v>
      </c>
      <c r="E206" t="s">
        <v>12</v>
      </c>
      <c r="F206">
        <v>18</v>
      </c>
      <c r="G206">
        <f t="shared" si="6"/>
        <v>0</v>
      </c>
      <c r="H206">
        <f t="shared" si="7"/>
        <v>18</v>
      </c>
    </row>
    <row r="207" spans="1:8" x14ac:dyDescent="0.3">
      <c r="A207" s="2">
        <v>44551.584722222222</v>
      </c>
      <c r="B207" t="s">
        <v>6</v>
      </c>
      <c r="C207" t="s">
        <v>10</v>
      </c>
      <c r="D207" t="s">
        <v>143</v>
      </c>
      <c r="E207" t="s">
        <v>12</v>
      </c>
      <c r="F207">
        <v>25</v>
      </c>
      <c r="G207">
        <f t="shared" si="6"/>
        <v>0</v>
      </c>
      <c r="H207">
        <f t="shared" si="7"/>
        <v>25</v>
      </c>
    </row>
    <row r="208" spans="1:8" x14ac:dyDescent="0.3">
      <c r="A208" s="2">
        <v>44551.870138888888</v>
      </c>
      <c r="B208" t="s">
        <v>6</v>
      </c>
      <c r="C208" t="s">
        <v>10</v>
      </c>
      <c r="D208" t="s">
        <v>42</v>
      </c>
      <c r="E208" t="s">
        <v>12</v>
      </c>
      <c r="F208">
        <v>239</v>
      </c>
      <c r="G208">
        <f t="shared" si="6"/>
        <v>0</v>
      </c>
      <c r="H208">
        <f t="shared" si="7"/>
        <v>239</v>
      </c>
    </row>
    <row r="209" spans="1:8" x14ac:dyDescent="0.3">
      <c r="A209" s="2">
        <v>44553.57708333333</v>
      </c>
      <c r="B209" t="s">
        <v>6</v>
      </c>
      <c r="C209" t="s">
        <v>10</v>
      </c>
      <c r="D209" t="s">
        <v>144</v>
      </c>
      <c r="E209" t="s">
        <v>12</v>
      </c>
      <c r="F209">
        <v>32</v>
      </c>
      <c r="G209">
        <f t="shared" si="6"/>
        <v>0</v>
      </c>
      <c r="H209">
        <f t="shared" si="7"/>
        <v>32</v>
      </c>
    </row>
    <row r="210" spans="1:8" x14ac:dyDescent="0.3">
      <c r="A210" s="2">
        <v>44553.688194444447</v>
      </c>
      <c r="B210" t="s">
        <v>6</v>
      </c>
      <c r="C210" t="s">
        <v>10</v>
      </c>
      <c r="D210" t="s">
        <v>145</v>
      </c>
      <c r="E210" t="s">
        <v>12</v>
      </c>
      <c r="F210">
        <v>15</v>
      </c>
      <c r="G210">
        <f t="shared" si="6"/>
        <v>0</v>
      </c>
      <c r="H210">
        <f t="shared" si="7"/>
        <v>15</v>
      </c>
    </row>
    <row r="211" spans="1:8" x14ac:dyDescent="0.3">
      <c r="A211" s="2">
        <v>44554.607638888891</v>
      </c>
      <c r="B211" t="s">
        <v>6</v>
      </c>
      <c r="C211" t="s">
        <v>10</v>
      </c>
      <c r="D211" t="s">
        <v>19</v>
      </c>
      <c r="E211" t="s">
        <v>12</v>
      </c>
      <c r="F211">
        <v>262</v>
      </c>
      <c r="G211">
        <f t="shared" si="6"/>
        <v>0</v>
      </c>
      <c r="H211">
        <f t="shared" si="7"/>
        <v>262</v>
      </c>
    </row>
    <row r="212" spans="1:8" x14ac:dyDescent="0.3">
      <c r="A212" s="2">
        <v>44555.563888888886</v>
      </c>
      <c r="B212" t="s">
        <v>6</v>
      </c>
      <c r="C212" t="s">
        <v>10</v>
      </c>
      <c r="D212" t="s">
        <v>117</v>
      </c>
      <c r="E212" t="s">
        <v>12</v>
      </c>
      <c r="F212">
        <v>40</v>
      </c>
      <c r="G212">
        <f t="shared" si="6"/>
        <v>0</v>
      </c>
      <c r="H212">
        <f t="shared" si="7"/>
        <v>40</v>
      </c>
    </row>
    <row r="213" spans="1:8" x14ac:dyDescent="0.3">
      <c r="A213" s="2">
        <v>44555.649305555555</v>
      </c>
      <c r="B213" t="s">
        <v>6</v>
      </c>
      <c r="C213" t="s">
        <v>10</v>
      </c>
      <c r="D213" t="s">
        <v>140</v>
      </c>
      <c r="E213" t="s">
        <v>12</v>
      </c>
      <c r="F213">
        <v>30</v>
      </c>
      <c r="G213">
        <f t="shared" si="6"/>
        <v>0</v>
      </c>
      <c r="H213">
        <f t="shared" si="7"/>
        <v>30</v>
      </c>
    </row>
    <row r="214" spans="1:8" x14ac:dyDescent="0.3">
      <c r="A214" s="2">
        <v>44555.709027777775</v>
      </c>
      <c r="B214" t="s">
        <v>6</v>
      </c>
      <c r="C214" t="s">
        <v>10</v>
      </c>
      <c r="D214" t="s">
        <v>146</v>
      </c>
      <c r="E214" t="s">
        <v>12</v>
      </c>
      <c r="F214">
        <v>300</v>
      </c>
      <c r="G214">
        <f t="shared" si="6"/>
        <v>0</v>
      </c>
      <c r="H214">
        <f t="shared" si="7"/>
        <v>300</v>
      </c>
    </row>
    <row r="215" spans="1:8" x14ac:dyDescent="0.3">
      <c r="A215" s="2">
        <v>44555.826388888891</v>
      </c>
      <c r="B215" t="s">
        <v>6</v>
      </c>
      <c r="C215" t="s">
        <v>58</v>
      </c>
      <c r="D215" t="s">
        <v>147</v>
      </c>
      <c r="E215" t="s">
        <v>12</v>
      </c>
      <c r="F215">
        <v>400</v>
      </c>
      <c r="G215">
        <f t="shared" si="6"/>
        <v>0</v>
      </c>
      <c r="H215">
        <f t="shared" si="7"/>
        <v>400</v>
      </c>
    </row>
    <row r="216" spans="1:8" x14ac:dyDescent="0.3">
      <c r="A216" s="2">
        <v>44555.953472222223</v>
      </c>
      <c r="B216" t="s">
        <v>6</v>
      </c>
      <c r="C216" t="s">
        <v>10</v>
      </c>
      <c r="D216" t="s">
        <v>42</v>
      </c>
      <c r="E216" t="s">
        <v>12</v>
      </c>
      <c r="F216">
        <v>504</v>
      </c>
      <c r="G216">
        <f t="shared" si="6"/>
        <v>0</v>
      </c>
      <c r="H216">
        <f t="shared" si="7"/>
        <v>504</v>
      </c>
    </row>
    <row r="217" spans="1:8" x14ac:dyDescent="0.3">
      <c r="A217" s="2">
        <v>44557.522916666669</v>
      </c>
      <c r="B217" t="s">
        <v>6</v>
      </c>
      <c r="C217" t="s">
        <v>10</v>
      </c>
      <c r="D217" t="s">
        <v>148</v>
      </c>
      <c r="E217" t="s">
        <v>12</v>
      </c>
      <c r="F217">
        <v>50</v>
      </c>
      <c r="G217">
        <f t="shared" si="6"/>
        <v>0</v>
      </c>
      <c r="H217">
        <f t="shared" si="7"/>
        <v>50</v>
      </c>
    </row>
    <row r="218" spans="1:8" x14ac:dyDescent="0.3">
      <c r="A218" s="2">
        <v>44557.572222222225</v>
      </c>
      <c r="B218" t="s">
        <v>6</v>
      </c>
      <c r="C218" t="s">
        <v>13</v>
      </c>
      <c r="D218" t="s">
        <v>25</v>
      </c>
      <c r="E218" t="s">
        <v>9</v>
      </c>
      <c r="F218">
        <v>80</v>
      </c>
      <c r="G218">
        <f t="shared" si="6"/>
        <v>80</v>
      </c>
      <c r="H218">
        <f t="shared" si="7"/>
        <v>0</v>
      </c>
    </row>
    <row r="219" spans="1:8" x14ac:dyDescent="0.3">
      <c r="A219" s="2">
        <v>44557.572916666664</v>
      </c>
      <c r="B219" t="s">
        <v>6</v>
      </c>
      <c r="C219" t="s">
        <v>10</v>
      </c>
      <c r="D219" t="s">
        <v>139</v>
      </c>
      <c r="E219" t="s">
        <v>12</v>
      </c>
      <c r="F219">
        <v>115</v>
      </c>
      <c r="G219">
        <f t="shared" si="6"/>
        <v>0</v>
      </c>
      <c r="H219">
        <f t="shared" si="7"/>
        <v>115</v>
      </c>
    </row>
    <row r="220" spans="1:8" x14ac:dyDescent="0.3">
      <c r="A220" s="2">
        <v>44558.570833333331</v>
      </c>
      <c r="B220" t="s">
        <v>6</v>
      </c>
      <c r="C220" t="s">
        <v>10</v>
      </c>
      <c r="D220" t="s">
        <v>149</v>
      </c>
      <c r="E220" t="s">
        <v>12</v>
      </c>
      <c r="F220">
        <v>14</v>
      </c>
      <c r="G220">
        <f t="shared" si="6"/>
        <v>0</v>
      </c>
      <c r="H220">
        <f t="shared" si="7"/>
        <v>14</v>
      </c>
    </row>
    <row r="221" spans="1:8" x14ac:dyDescent="0.3">
      <c r="A221" s="2">
        <v>44560.489583333336</v>
      </c>
      <c r="B221" t="s">
        <v>6</v>
      </c>
      <c r="C221" t="s">
        <v>10</v>
      </c>
      <c r="D221" t="s">
        <v>140</v>
      </c>
      <c r="E221" t="s">
        <v>12</v>
      </c>
      <c r="F221">
        <v>20</v>
      </c>
      <c r="G221">
        <f t="shared" si="6"/>
        <v>0</v>
      </c>
      <c r="H221">
        <f t="shared" si="7"/>
        <v>20</v>
      </c>
    </row>
    <row r="222" spans="1:8" x14ac:dyDescent="0.3">
      <c r="A222" s="2">
        <v>44560.525694444441</v>
      </c>
      <c r="B222" t="s">
        <v>6</v>
      </c>
      <c r="C222" t="s">
        <v>13</v>
      </c>
      <c r="D222" t="s">
        <v>110</v>
      </c>
      <c r="E222" t="s">
        <v>9</v>
      </c>
      <c r="F222">
        <v>250</v>
      </c>
      <c r="G222">
        <f t="shared" si="6"/>
        <v>250</v>
      </c>
      <c r="H222">
        <f t="shared" si="7"/>
        <v>0</v>
      </c>
    </row>
    <row r="223" spans="1:8" x14ac:dyDescent="0.3">
      <c r="A223" s="2">
        <v>44560.529861111114</v>
      </c>
      <c r="B223" t="s">
        <v>6</v>
      </c>
      <c r="C223" t="s">
        <v>10</v>
      </c>
      <c r="D223" t="s">
        <v>150</v>
      </c>
      <c r="E223" t="s">
        <v>12</v>
      </c>
      <c r="F223">
        <v>25</v>
      </c>
      <c r="G223">
        <f t="shared" si="6"/>
        <v>0</v>
      </c>
      <c r="H223">
        <f t="shared" si="7"/>
        <v>25</v>
      </c>
    </row>
    <row r="224" spans="1:8" x14ac:dyDescent="0.3">
      <c r="A224" s="2">
        <v>44560.566666666666</v>
      </c>
      <c r="B224" t="s">
        <v>6</v>
      </c>
      <c r="C224" t="s">
        <v>80</v>
      </c>
      <c r="D224" t="s">
        <v>33</v>
      </c>
      <c r="E224" t="s">
        <v>9</v>
      </c>
      <c r="F224">
        <v>55530</v>
      </c>
      <c r="G224">
        <f t="shared" si="6"/>
        <v>55530</v>
      </c>
      <c r="H224">
        <f t="shared" si="7"/>
        <v>0</v>
      </c>
    </row>
    <row r="225" spans="1:8" x14ac:dyDescent="0.3">
      <c r="A225" s="2">
        <v>44560.580555555556</v>
      </c>
      <c r="B225" t="s">
        <v>6</v>
      </c>
      <c r="C225" t="s">
        <v>16</v>
      </c>
      <c r="D225" t="s">
        <v>151</v>
      </c>
      <c r="E225" t="s">
        <v>12</v>
      </c>
      <c r="F225">
        <v>43</v>
      </c>
      <c r="G225">
        <f t="shared" si="6"/>
        <v>0</v>
      </c>
      <c r="H225">
        <f t="shared" si="7"/>
        <v>43</v>
      </c>
    </row>
    <row r="226" spans="1:8" x14ac:dyDescent="0.3">
      <c r="A226" s="2">
        <v>44560.590277777781</v>
      </c>
      <c r="B226" t="s">
        <v>6</v>
      </c>
      <c r="C226" t="s">
        <v>10</v>
      </c>
      <c r="D226" t="s">
        <v>152</v>
      </c>
      <c r="E226" t="s">
        <v>12</v>
      </c>
      <c r="F226">
        <v>20</v>
      </c>
      <c r="G226">
        <f t="shared" si="6"/>
        <v>0</v>
      </c>
      <c r="H226">
        <f t="shared" si="7"/>
        <v>20</v>
      </c>
    </row>
  </sheetData>
  <autoFilter ref="A1:F226" xr:uid="{114DBB12-C8CB-4B08-8991-39345C12E75C}"/>
  <sortState xmlns:xlrd2="http://schemas.microsoft.com/office/spreadsheetml/2017/richdata2" ref="A2:F226">
    <sortCondition ref="A1:A2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chart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abhilasha yagyaseni</dc:creator>
  <cp:lastModifiedBy>Janane K.S</cp:lastModifiedBy>
  <dcterms:created xsi:type="dcterms:W3CDTF">2022-08-27T06:02:07Z</dcterms:created>
  <dcterms:modified xsi:type="dcterms:W3CDTF">2026-04-22T13:03:34Z</dcterms:modified>
</cp:coreProperties>
</file>